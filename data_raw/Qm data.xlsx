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Qm_metal_MP adsorption\data_raw\"/>
    </mc:Choice>
  </mc:AlternateContent>
  <xr:revisionPtr revIDLastSave="0" documentId="13_ncr:1_{5047851F-1AD3-4DC0-AE29-456F0D178BB7}" xr6:coauthVersionLast="47" xr6:coauthVersionMax="47" xr10:uidLastSave="{00000000-0000-0000-0000-000000000000}"/>
  <bookViews>
    <workbookView xWindow="-120" yWindow="-120" windowWidth="29040" windowHeight="15720" xr2:uid="{87D0E864-89B1-4559-9396-207B8DF6817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5" i="1" l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0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09" i="1"/>
  <c r="F208" i="1"/>
  <c r="F207" i="1"/>
  <c r="F205" i="1"/>
  <c r="K204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61" i="1"/>
  <c r="F160" i="1"/>
  <c r="F159" i="1"/>
  <c r="F158" i="1"/>
  <c r="F157" i="1"/>
  <c r="F156" i="1"/>
  <c r="F155" i="1"/>
</calcChain>
</file>

<file path=xl/sharedStrings.xml><?xml version="1.0" encoding="utf-8"?>
<sst xmlns="http://schemas.openxmlformats.org/spreadsheetml/2006/main" count="1994" uniqueCount="274">
  <si>
    <t>Author-year</t>
  </si>
  <si>
    <t>AgS</t>
  </si>
  <si>
    <t>ReT</t>
  </si>
  <si>
    <t>SA (m2/g)</t>
  </si>
  <si>
    <t>Metal</t>
  </si>
  <si>
    <t>AIC (mg/L)</t>
  </si>
  <si>
    <t>Temp</t>
  </si>
  <si>
    <t>pH</t>
  </si>
  <si>
    <t>rpm</t>
  </si>
  <si>
    <t>Qm (µg/g)</t>
  </si>
  <si>
    <t>Aged condition</t>
  </si>
  <si>
    <t>Solution- added agent</t>
  </si>
  <si>
    <t>Note</t>
  </si>
  <si>
    <t>(Li et al., 2019)</t>
  </si>
  <si>
    <t>Virgin</t>
  </si>
  <si>
    <t>PA</t>
  </si>
  <si>
    <t>Cd (II)</t>
  </si>
  <si>
    <t>Single-ion</t>
  </si>
  <si>
    <t>PP</t>
  </si>
  <si>
    <t>PE</t>
  </si>
  <si>
    <t>Aged</t>
  </si>
  <si>
    <t>Mix</t>
  </si>
  <si>
    <t>Nature: Sludge</t>
  </si>
  <si>
    <t>(Wang et al., 2019)</t>
  </si>
  <si>
    <t>HDPE</t>
  </si>
  <si>
    <t>(Yang et al., 2019)</t>
  </si>
  <si>
    <t>Cu (II)</t>
  </si>
  <si>
    <t>Lab: UV</t>
  </si>
  <si>
    <t>PS</t>
  </si>
  <si>
    <t>PET</t>
  </si>
  <si>
    <t>PVC</t>
  </si>
  <si>
    <t>PMMA</t>
  </si>
  <si>
    <t>(Dong et al., 2020)</t>
  </si>
  <si>
    <t>As (III)</t>
  </si>
  <si>
    <t>Mixed</t>
  </si>
  <si>
    <t>HA</t>
  </si>
  <si>
    <t>HA 20 mg/L</t>
  </si>
  <si>
    <t>HA 40 mg/L</t>
  </si>
  <si>
    <t>HA 60 mg/L</t>
  </si>
  <si>
    <t>FA</t>
  </si>
  <si>
    <t>FA 20 mg/L</t>
  </si>
  <si>
    <t>FA 40 mg/L</t>
  </si>
  <si>
    <t>FA 60 mg/L</t>
  </si>
  <si>
    <t>(Guo et al., 2020)</t>
  </si>
  <si>
    <t>Pb (II)</t>
  </si>
  <si>
    <t>Lab: 1 month UV</t>
  </si>
  <si>
    <t>Lab: 2 month UV</t>
  </si>
  <si>
    <t>Lab: 3 month UV</t>
  </si>
  <si>
    <t>Ni (II)</t>
  </si>
  <si>
    <t>Zn (II)</t>
  </si>
  <si>
    <t>Lab: 3 month-pure water</t>
  </si>
  <si>
    <t>Lab: 3 month-sea water</t>
  </si>
  <si>
    <t>Lab: 3 month-air</t>
  </si>
  <si>
    <t>nylon</t>
  </si>
  <si>
    <t>Nature: coastal aquaculture</t>
  </si>
  <si>
    <t>(Wang et al., 2020)</t>
  </si>
  <si>
    <t>The adsorption behavior of metals</t>
  </si>
  <si>
    <t>Virgins</t>
  </si>
  <si>
    <t>Lab: Wastewater, 20d</t>
  </si>
  <si>
    <t>TC</t>
  </si>
  <si>
    <t>PE+5 mg/L TC</t>
  </si>
  <si>
    <t>(Gao et al., 2021)</t>
  </si>
  <si>
    <t>Lab: UV seawater</t>
  </si>
  <si>
    <t>(Li et al., 2021)</t>
  </si>
  <si>
    <t>Lab: Wastewater pipeline</t>
  </si>
  <si>
    <t>Lab: Grit tank</t>
  </si>
  <si>
    <t>Lab: Aeration tank</t>
  </si>
  <si>
    <t> 614.48</t>
  </si>
  <si>
    <t>(Lin et al., 2021)</t>
  </si>
  <si>
    <t>(Qi et al., 2021)</t>
  </si>
  <si>
    <t>PS+biofilm+Nanhu</t>
  </si>
  <si>
    <t>Nature: Lake</t>
  </si>
  <si>
    <t>PS+biofilm+Shitoukoumen</t>
  </si>
  <si>
    <t>SDBS</t>
  </si>
  <si>
    <t>(Wang et al., 2021)</t>
  </si>
  <si>
    <t>Lab: air incubating</t>
  </si>
  <si>
    <t>Aged MP (A-PE-MPs)</t>
  </si>
  <si>
    <t>Lab: water incubating</t>
  </si>
  <si>
    <t>Aged MP (W-PE-MPs)</t>
  </si>
  <si>
    <t>Lab: soil incubating</t>
  </si>
  <si>
    <t>Aged MP (S-PE-MPs)</t>
  </si>
  <si>
    <t>(Xue et al., 2021)</t>
  </si>
  <si>
    <t>Vigin MP</t>
  </si>
  <si>
    <t>TPU</t>
  </si>
  <si>
    <t>OTC</t>
  </si>
  <si>
    <t>(Yu et al., 2021)</t>
  </si>
  <si>
    <t xml:space="preserve">hexabromocyclododecane </t>
  </si>
  <si>
    <t>(He et al., 2022)</t>
  </si>
  <si>
    <t>Mn (II)</t>
  </si>
  <si>
    <t>Lab: Alkaline aging</t>
  </si>
  <si>
    <t xml:space="preserve">HA </t>
  </si>
  <si>
    <t>(Jiang et al., 2022)</t>
  </si>
  <si>
    <t>CTAB</t>
  </si>
  <si>
    <t>PE-CTAB</t>
  </si>
  <si>
    <t>PE-SDBS</t>
  </si>
  <si>
    <t xml:space="preserve">CTAB </t>
  </si>
  <si>
    <t>PP-CTAB</t>
  </si>
  <si>
    <t>PP-SDBS</t>
  </si>
  <si>
    <t>Cr(VI)</t>
  </si>
  <si>
    <t>Comparing the influence….</t>
  </si>
  <si>
    <t>PS+FA10</t>
  </si>
  <si>
    <t>PS+FA20</t>
  </si>
  <si>
    <t>TA</t>
  </si>
  <si>
    <t>PS+TA10</t>
  </si>
  <si>
    <t>PS+TA20</t>
  </si>
  <si>
    <t>PS+HA10</t>
  </si>
  <si>
    <t>PS+HA20</t>
  </si>
  <si>
    <t>Adsorption of lead and cadmium by…</t>
  </si>
  <si>
    <t>PBS</t>
  </si>
  <si>
    <t>Effect of biofilm colonization…</t>
  </si>
  <si>
    <t>Lab: wastewater-incubation</t>
  </si>
  <si>
    <t>Aged MP (biofilm)</t>
  </si>
  <si>
    <t>Aged MP (biofilm removed)</t>
  </si>
  <si>
    <t>Cr (VI)</t>
  </si>
  <si>
    <t>Adsorption behaviour of </t>
  </si>
  <si>
    <t>0.0304 </t>
  </si>
  <si>
    <t>(Lin et al., 2022)</t>
  </si>
  <si>
    <t xml:space="preserve">HBCD </t>
  </si>
  <si>
    <t>Investigation of the adsorption</t>
  </si>
  <si>
    <t>V-PE</t>
  </si>
  <si>
    <t>Na</t>
  </si>
  <si>
    <t>V-PE-50mM Na</t>
  </si>
  <si>
    <t>V-PE-10mM Na</t>
  </si>
  <si>
    <t>Nature: river</t>
  </si>
  <si>
    <t>A-PE-10mM Na</t>
  </si>
  <si>
    <t>Ca</t>
  </si>
  <si>
    <t>V-PE-5mM Ca</t>
  </si>
  <si>
    <t>V-PE-1mM Ca</t>
  </si>
  <si>
    <t>A-PE-5mM Ca</t>
  </si>
  <si>
    <t>The influence of Pb(II)</t>
  </si>
  <si>
    <t>PLA</t>
  </si>
  <si>
    <t>Lab: UV/O3</t>
  </si>
  <si>
    <t>APE</t>
  </si>
  <si>
    <t>APLA</t>
  </si>
  <si>
    <t>(Nguyen et al., 2022)</t>
  </si>
  <si>
    <t>48 microm</t>
  </si>
  <si>
    <t>125 microm</t>
  </si>
  <si>
    <t>500 microm</t>
  </si>
  <si>
    <t>(Qiongjie et al., 2022)</t>
  </si>
  <si>
    <t>Pb(II) = 0</t>
  </si>
  <si>
    <t>V-PS</t>
  </si>
  <si>
    <t>Pb</t>
  </si>
  <si>
    <t>Pb(II) = 0.005 mmol/L</t>
  </si>
  <si>
    <t>Pb(II) = 0.01 mmol/L</t>
  </si>
  <si>
    <t>Pb(II) = 0.05 mmol/L</t>
  </si>
  <si>
    <t>Pb(II) = 0.1 mmol/L</t>
  </si>
  <si>
    <t>Cu(II) = 0</t>
  </si>
  <si>
    <t>Cu</t>
  </si>
  <si>
    <t>Cu(II) = 0.005 mmol/L</t>
  </si>
  <si>
    <t>Cu(II) = 0.01 mmol/L</t>
  </si>
  <si>
    <t>Cu(II) = 0.05 mmol/L</t>
  </si>
  <si>
    <t>Cu(II) = 0.1 mmol/L</t>
  </si>
  <si>
    <t>UV-PS</t>
  </si>
  <si>
    <t>Lab: wastewater, aeration</t>
  </si>
  <si>
    <t>Bio-PS</t>
  </si>
  <si>
    <t>(Qiu et al., 2022)</t>
  </si>
  <si>
    <t>Hg (II)</t>
  </si>
  <si>
    <t>Lab: Sulfur, anaerobiosis</t>
  </si>
  <si>
    <t>(Sathyamoorthy et al., 2022)</t>
  </si>
  <si>
    <t>(Sun et al., 2022)</t>
  </si>
  <si>
    <t>P-PLA</t>
  </si>
  <si>
    <t>Lab: Wastewater</t>
  </si>
  <si>
    <t>S-PLA</t>
  </si>
  <si>
    <t>(Tang et al., 2022)</t>
  </si>
  <si>
    <t>Sorption behavior of Pb(II)</t>
  </si>
  <si>
    <t xml:space="preserve">Adsorption of tetracycline and Cd(II) on polystyrene </t>
  </si>
  <si>
    <t>UVPS</t>
  </si>
  <si>
    <t>Lab: H2O2</t>
  </si>
  <si>
    <t>HOPS</t>
  </si>
  <si>
    <t>tetracycline</t>
  </si>
  <si>
    <t>UVPET</t>
  </si>
  <si>
    <t>HOPET</t>
  </si>
  <si>
    <t>(Zhao et al., 2022)</t>
  </si>
  <si>
    <t>PBT</t>
  </si>
  <si>
    <t>PPw (CK)</t>
  </si>
  <si>
    <t>Changes in metal adsorption</t>
  </si>
  <si>
    <t>Nature: air-sun</t>
  </si>
  <si>
    <t>PPw-30d</t>
  </si>
  <si>
    <t>PPw-60d</t>
  </si>
  <si>
    <t>PPw-120d</t>
  </si>
  <si>
    <t>PPw-250d</t>
  </si>
  <si>
    <t>PEf-CK</t>
  </si>
  <si>
    <t>Pef-30d</t>
  </si>
  <si>
    <t>Pef-60d</t>
  </si>
  <si>
    <t>Pef-90d</t>
  </si>
  <si>
    <t>Pef-180d</t>
  </si>
  <si>
    <t>Pef-250d</t>
  </si>
  <si>
    <t>PS-CIP0</t>
  </si>
  <si>
    <t xml:space="preserve">Adsorption behavior of Cu(II) </t>
  </si>
  <si>
    <t>PS-CIP2</t>
  </si>
  <si>
    <t>PVC-CIP0</t>
  </si>
  <si>
    <t>PVC-CIP2</t>
  </si>
  <si>
    <t>PS-CIP30</t>
  </si>
  <si>
    <t>PVC-CIP30</t>
  </si>
  <si>
    <t>(Gao et al., 2023)</t>
  </si>
  <si>
    <t>Lab+Nature: H202-Sunlight</t>
  </si>
  <si>
    <t>(Huang et al., 2023)</t>
  </si>
  <si>
    <t>(Sun et al., 2023)</t>
  </si>
  <si>
    <t>PBAT</t>
  </si>
  <si>
    <t>P-PBAT</t>
  </si>
  <si>
    <t>Pristin</t>
  </si>
  <si>
    <t>D-PBAT</t>
  </si>
  <si>
    <t>Biodegrated</t>
  </si>
  <si>
    <t>(Wang et al., 2023)</t>
  </si>
  <si>
    <t>V-VPC+Pb</t>
  </si>
  <si>
    <t>V-VPC+Pb+5mg/L HA</t>
  </si>
  <si>
    <t>V-VPC+Pb+10mg/L HA</t>
  </si>
  <si>
    <t>V-VPC+Pb+15mg/L HA</t>
  </si>
  <si>
    <t>Bio-PVC-Pb</t>
  </si>
  <si>
    <t>Bio-PVC-Pb+5mg/L HA</t>
  </si>
  <si>
    <t>Bio-PVC-Pb+10mg/L HA</t>
  </si>
  <si>
    <t>Bio-PVC-Pb+15mg/L HA</t>
  </si>
  <si>
    <t>(Yu et al., 2023)</t>
  </si>
  <si>
    <t>RPLA</t>
  </si>
  <si>
    <t>Lab: sludge-hydrothermal treatment</t>
  </si>
  <si>
    <t>PLA-110</t>
  </si>
  <si>
    <t>PLA-120</t>
  </si>
  <si>
    <t>PLA-130</t>
  </si>
  <si>
    <t>PLA-140</t>
  </si>
  <si>
    <t>(Huang et al., 2024)</t>
  </si>
  <si>
    <t>aged-PLA</t>
  </si>
  <si>
    <t>(Li et al., 2024)</t>
  </si>
  <si>
    <t>P-PS</t>
  </si>
  <si>
    <t>P-PE</t>
  </si>
  <si>
    <t>Lab: O3 water</t>
  </si>
  <si>
    <t>A-PS</t>
  </si>
  <si>
    <t>A-PE</t>
  </si>
  <si>
    <t>A-PLA</t>
  </si>
  <si>
    <t>(Hu et al., 2024)</t>
  </si>
  <si>
    <t>(Hu et al., 2024b)</t>
  </si>
  <si>
    <t xml:space="preserve">Adsorption and Desorption Behavior of Cr(VI) </t>
  </si>
  <si>
    <t>(Muthuraja et al., 2024)</t>
  </si>
  <si>
    <t>Ppa: 500 and 1000 μm</t>
  </si>
  <si>
    <t>PPb: 250–500 μm</t>
  </si>
  <si>
    <t>Aged PPb</t>
  </si>
  <si>
    <t>PSa: 500 and 1000 μm</t>
  </si>
  <si>
    <t>PSb: 250–500 μm</t>
  </si>
  <si>
    <t>Aged PSb</t>
  </si>
  <si>
    <t>(Saravanakumar et al., 2024)</t>
  </si>
  <si>
    <t>(Chen et al., 2025)</t>
  </si>
  <si>
    <t>V-PPT</t>
  </si>
  <si>
    <t>70% PBAT, 5% PLA and 20% TPS</t>
  </si>
  <si>
    <t>Lab: (biofilm) real wastewater</t>
  </si>
  <si>
    <t>B-PPT</t>
  </si>
  <si>
    <t>D-PPT</t>
  </si>
  <si>
    <t>Lab: biodegraded MP</t>
  </si>
  <si>
    <t>(Dai et al., 2025)</t>
  </si>
  <si>
    <t>Lab: distilled-water</t>
  </si>
  <si>
    <t>PA-D</t>
  </si>
  <si>
    <t>Lab: tap-water</t>
  </si>
  <si>
    <t>PA-T</t>
  </si>
  <si>
    <t>Lab: surface water</t>
  </si>
  <si>
    <t>PA-S</t>
  </si>
  <si>
    <t>Lab: wastewater</t>
  </si>
  <si>
    <t>PA-W</t>
  </si>
  <si>
    <t>PLA-D</t>
  </si>
  <si>
    <t>PLA-T</t>
  </si>
  <si>
    <t>PLA-S</t>
  </si>
  <si>
    <t>PLAW</t>
  </si>
  <si>
    <t>Adc</t>
  </si>
  <si>
    <t>(Wang_wang  2020)</t>
  </si>
  <si>
    <t>(Li_zu 2022)</t>
  </si>
  <si>
    <t>(Li_li 2022)</t>
  </si>
  <si>
    <t>(Li_Wang 2022)</t>
  </si>
  <si>
    <t>(Li_Zhang  2022)</t>
  </si>
  <si>
    <t>(Liu_Zhang  2022)</t>
  </si>
  <si>
    <t>(Liu_Huang 2022)</t>
  </si>
  <si>
    <t>(Wang_Wang 2022)</t>
  </si>
  <si>
    <t>(Wang_Qui 2022)</t>
  </si>
  <si>
    <t>(Zhou_Sun 2022)</t>
  </si>
  <si>
    <t>(Zhou_chen 2022)</t>
  </si>
  <si>
    <t>(Tang_Lin 2020)</t>
  </si>
  <si>
    <t>(Mao et al., 2020)</t>
  </si>
  <si>
    <t>(Jiang et al., 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</si>
</sst>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Times New Roman"/>
      <family val="1"/>
    </font>
    <font>
      <sz val="10"/>
      <color theme="1"/>
      <name val="Times New Roman"/>
      <family val="1"/>
    </font>
    <font>
      <sz val="9"/>
      <color rgb="FF006100"/>
      <name val="Times New Roman"/>
      <family val="1"/>
    </font>
    <font>
      <sz val="10"/>
      <color rgb="FF006100"/>
      <name val="Times New Roman"/>
      <family val="1"/>
    </font>
    <font>
      <sz val="9"/>
      <color rgb="FF1F1F1F"/>
      <name val="Times New Roman"/>
      <family val="1"/>
    </font>
    <font>
      <sz val="9"/>
      <color rgb="FF9C0006"/>
      <name val="Times New Roman"/>
      <family val="1"/>
    </font>
    <font>
      <sz val="10"/>
      <color rgb="FF9C0006"/>
      <name val="Times New Roman"/>
      <family val="1"/>
    </font>
    <font>
      <sz val="9"/>
      <color rgb="FF9C6500"/>
      <name val="Times New Roman"/>
      <family val="1"/>
    </font>
    <font>
      <sz val="10"/>
      <color rgb="FF9C6500"/>
      <name val="Times New Roman"/>
      <family val="1"/>
    </font>
    <font>
      <sz val="9"/>
      <color rgb="FF000000"/>
      <name val="Times New Roman"/>
      <family val="1"/>
    </font>
    <font>
      <sz val="9"/>
      <color rgb="FF9C6500"/>
      <name val="Aptos Narrow"/>
      <family val="2"/>
      <scheme val="minor"/>
    </font>
    <font>
      <sz val="9"/>
      <color rgb="FF1F1F1F"/>
      <name val="Georgia"/>
      <family val="1"/>
    </font>
    <font>
      <sz val="9"/>
      <color theme="1"/>
      <name val="Aptos Narrow"/>
      <family val="2"/>
      <scheme val="minor"/>
    </font>
    <font>
      <sz val="9"/>
      <color rgb="FF9C0006"/>
      <name val="Aptos Narrow"/>
      <family val="2"/>
      <scheme val="minor"/>
    </font>
    <font>
      <sz val="11"/>
      <color rgb="FF1F1F1F"/>
      <name val="Georgia"/>
      <family val="1"/>
    </font>
    <font>
      <sz val="11"/>
      <color rgb="FF1F1F1F"/>
      <name val="Times New Roman"/>
      <family val="1"/>
    </font>
    <font>
      <sz val="10"/>
      <color rgb="FF1F1F1F"/>
      <name val="Georgia"/>
      <family val="1"/>
    </font>
    <font>
      <sz val="10.5"/>
      <color theme="1"/>
      <name val="Times New Roman"/>
      <family val="1"/>
    </font>
    <font>
      <sz val="12"/>
      <color rgb="FF1F1F1F"/>
      <name val="Georgia"/>
      <family val="1"/>
    </font>
    <font>
      <sz val="10"/>
      <color rgb="FF1F1F1F"/>
      <name val="Times New Roman"/>
      <family val="1"/>
    </font>
    <font>
      <sz val="10.5"/>
      <name val="Times New Roman"/>
      <family val="1"/>
    </font>
    <font>
      <b/>
      <sz val="10"/>
      <color rgb="FF1F1F1F"/>
      <name val="Times New Roman"/>
      <family val="1"/>
    </font>
    <font>
      <sz val="12"/>
      <color theme="1"/>
      <name val="Times New Roman"/>
      <family val="1"/>
    </font>
  </fonts>
  <fills count="2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8E8E8E"/>
      </top>
      <bottom style="medium">
        <color rgb="FF8E8E8E"/>
      </bottom>
      <diagonal/>
    </border>
    <border>
      <left/>
      <right/>
      <top style="thick">
        <color indexed="64"/>
      </top>
      <bottom/>
      <diagonal/>
    </border>
    <border>
      <left/>
      <right/>
      <top style="medium">
        <color rgb="FF7F7F7F"/>
      </top>
      <bottom style="medium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1" applyNumberFormat="0" applyAlignment="0" applyProtection="0"/>
    <xf numFmtId="0" fontId="1" fillId="6" borderId="2" applyNumberFormat="0" applyFont="0" applyAlignment="0" applyProtection="0"/>
  </cellStyleXfs>
  <cellXfs count="84">
    <xf numFmtId="0" fontId="0" fillId="0" borderId="0" xfId="0"/>
    <xf numFmtId="0" fontId="6" fillId="0" borderId="0" xfId="0" applyFont="1"/>
    <xf numFmtId="0" fontId="0" fillId="0" borderId="0" xfId="0" applyAlignment="1">
      <alignment wrapText="1"/>
    </xf>
    <xf numFmtId="0" fontId="7" fillId="0" borderId="0" xfId="0" applyFont="1"/>
    <xf numFmtId="0" fontId="8" fillId="2" borderId="0" xfId="1" applyFont="1" applyAlignment="1">
      <alignment vertical="center"/>
    </xf>
    <xf numFmtId="0" fontId="8" fillId="2" borderId="0" xfId="1" applyFont="1"/>
    <xf numFmtId="0" fontId="9" fillId="2" borderId="0" xfId="1" applyFont="1"/>
    <xf numFmtId="0" fontId="10" fillId="0" borderId="0" xfId="0" applyFont="1"/>
    <xf numFmtId="0" fontId="11" fillId="3" borderId="0" xfId="2" applyFont="1"/>
    <xf numFmtId="0" fontId="12" fillId="3" borderId="0" xfId="2" applyFont="1"/>
    <xf numFmtId="0" fontId="3" fillId="3" borderId="0" xfId="2"/>
    <xf numFmtId="0" fontId="13" fillId="4" borderId="0" xfId="3" applyFont="1"/>
    <xf numFmtId="0" fontId="14" fillId="4" borderId="0" xfId="3" applyFont="1"/>
    <xf numFmtId="0" fontId="8" fillId="2" borderId="3" xfId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4" fillId="4" borderId="0" xfId="3"/>
    <xf numFmtId="0" fontId="3" fillId="3" borderId="0" xfId="2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2" fontId="11" fillId="3" borderId="0" xfId="2" applyNumberFormat="1" applyFont="1"/>
    <xf numFmtId="0" fontId="16" fillId="4" borderId="0" xfId="3" applyFont="1"/>
    <xf numFmtId="0" fontId="17" fillId="0" borderId="0" xfId="0" applyFont="1"/>
    <xf numFmtId="0" fontId="18" fillId="0" borderId="0" xfId="0" applyFont="1"/>
    <xf numFmtId="0" fontId="19" fillId="3" borderId="0" xfId="2" applyFont="1"/>
    <xf numFmtId="0" fontId="2" fillId="2" borderId="0" xfId="1"/>
    <xf numFmtId="0" fontId="4" fillId="4" borderId="5" xfId="3" applyBorder="1" applyAlignment="1">
      <alignment vertical="center" wrapText="1"/>
    </xf>
    <xf numFmtId="0" fontId="20" fillId="0" borderId="0" xfId="0" applyFont="1"/>
    <xf numFmtId="164" fontId="3" fillId="3" borderId="0" xfId="2" applyNumberFormat="1"/>
    <xf numFmtId="0" fontId="3" fillId="3" borderId="5" xfId="2" applyBorder="1" applyAlignment="1">
      <alignment vertical="center" wrapText="1"/>
    </xf>
    <xf numFmtId="0" fontId="21" fillId="0" borderId="0" xfId="0" applyFont="1"/>
    <xf numFmtId="0" fontId="21" fillId="0" borderId="5" xfId="0" applyFont="1" applyBorder="1" applyAlignment="1">
      <alignment vertical="center" wrapText="1"/>
    </xf>
    <xf numFmtId="0" fontId="3" fillId="6" borderId="2" xfId="5" applyFont="1"/>
    <xf numFmtId="0" fontId="2" fillId="2" borderId="5" xfId="1" applyBorder="1" applyAlignment="1">
      <alignment vertical="center" wrapText="1"/>
    </xf>
    <xf numFmtId="0" fontId="22" fillId="0" borderId="0" xfId="0" applyFont="1"/>
    <xf numFmtId="0" fontId="22" fillId="0" borderId="0" xfId="0" applyFont="1" applyAlignment="1">
      <alignment vertical="center" wrapText="1"/>
    </xf>
    <xf numFmtId="0" fontId="2" fillId="2" borderId="0" xfId="1" applyAlignment="1">
      <alignment vertical="center" wrapText="1"/>
    </xf>
    <xf numFmtId="0" fontId="4" fillId="4" borderId="0" xfId="3" applyAlignment="1">
      <alignment vertical="center"/>
    </xf>
    <xf numFmtId="0" fontId="20" fillId="0" borderId="6" xfId="0" applyFont="1" applyBorder="1" applyAlignment="1">
      <alignment horizontal="left" vertical="center" wrapText="1"/>
    </xf>
    <xf numFmtId="0" fontId="23" fillId="0" borderId="7" xfId="0" applyFont="1" applyBorder="1" applyAlignment="1">
      <alignment horizontal="justify" vertical="center" wrapText="1"/>
    </xf>
    <xf numFmtId="0" fontId="24" fillId="0" borderId="0" xfId="0" applyFont="1"/>
    <xf numFmtId="2" fontId="2" fillId="2" borderId="0" xfId="1" applyNumberFormat="1"/>
    <xf numFmtId="2" fontId="0" fillId="0" borderId="0" xfId="0" applyNumberFormat="1"/>
    <xf numFmtId="2" fontId="3" fillId="3" borderId="0" xfId="2" applyNumberFormat="1"/>
    <xf numFmtId="0" fontId="4" fillId="4" borderId="8" xfId="3" applyBorder="1" applyAlignment="1">
      <alignment vertical="center" wrapText="1"/>
    </xf>
    <xf numFmtId="0" fontId="25" fillId="8" borderId="0" xfId="0" applyFont="1" applyFill="1"/>
    <xf numFmtId="0" fontId="5" fillId="8" borderId="9" xfId="4" applyFill="1" applyBorder="1"/>
    <xf numFmtId="0" fontId="7" fillId="8" borderId="0" xfId="0" applyFont="1" applyFill="1"/>
    <xf numFmtId="0" fontId="0" fillId="8" borderId="0" xfId="0" applyFill="1"/>
    <xf numFmtId="0" fontId="5" fillId="5" borderId="9" xfId="4" applyBorder="1"/>
    <xf numFmtId="0" fontId="0" fillId="7" borderId="0" xfId="0" applyFill="1"/>
    <xf numFmtId="0" fontId="0" fillId="9" borderId="0" xfId="0" applyFill="1"/>
    <xf numFmtId="0" fontId="25" fillId="7" borderId="0" xfId="0" applyFont="1" applyFill="1"/>
    <xf numFmtId="0" fontId="7" fillId="7" borderId="0" xfId="0" applyFont="1" applyFill="1"/>
    <xf numFmtId="0" fontId="25" fillId="0" borderId="0" xfId="0" applyFont="1"/>
    <xf numFmtId="0" fontId="7" fillId="10" borderId="0" xfId="0" applyFont="1" applyFill="1"/>
    <xf numFmtId="0" fontId="25" fillId="11" borderId="0" xfId="0" applyFont="1" applyFill="1"/>
    <xf numFmtId="0" fontId="0" fillId="11" borderId="0" xfId="0" applyFill="1"/>
    <xf numFmtId="0" fontId="26" fillId="0" borderId="3" xfId="0" applyFont="1" applyBorder="1" applyAlignment="1">
      <alignment vertical="center" wrapText="1"/>
    </xf>
    <xf numFmtId="0" fontId="0" fillId="12" borderId="0" xfId="0" applyFill="1"/>
    <xf numFmtId="0" fontId="7" fillId="12" borderId="0" xfId="0" applyFont="1" applyFill="1"/>
    <xf numFmtId="0" fontId="26" fillId="0" borderId="0" xfId="0" applyFont="1" applyAlignment="1">
      <alignment vertical="center" wrapText="1"/>
    </xf>
    <xf numFmtId="0" fontId="0" fillId="13" borderId="0" xfId="0" applyFill="1"/>
    <xf numFmtId="0" fontId="7" fillId="13" borderId="0" xfId="0" applyFont="1" applyFill="1"/>
    <xf numFmtId="0" fontId="26" fillId="0" borderId="4" xfId="0" applyFont="1" applyBorder="1" applyAlignment="1">
      <alignment vertical="center" wrapText="1"/>
    </xf>
    <xf numFmtId="0" fontId="25" fillId="14" borderId="0" xfId="0" applyFont="1" applyFill="1"/>
    <xf numFmtId="0" fontId="0" fillId="14" borderId="0" xfId="0" applyFill="1"/>
    <xf numFmtId="0" fontId="25" fillId="15" borderId="0" xfId="0" applyFont="1" applyFill="1"/>
    <xf numFmtId="0" fontId="0" fillId="15" borderId="0" xfId="0" applyFill="1"/>
    <xf numFmtId="0" fontId="0" fillId="16" borderId="0" xfId="0" applyFill="1"/>
    <xf numFmtId="0" fontId="25" fillId="17" borderId="0" xfId="0" applyFont="1" applyFill="1"/>
    <xf numFmtId="0" fontId="0" fillId="17" borderId="0" xfId="0" applyFill="1"/>
    <xf numFmtId="0" fontId="0" fillId="10" borderId="0" xfId="0" applyFill="1"/>
    <xf numFmtId="0" fontId="25" fillId="18" borderId="0" xfId="0" applyFont="1" applyFill="1"/>
    <xf numFmtId="0" fontId="0" fillId="18" borderId="0" xfId="0" applyFill="1"/>
    <xf numFmtId="0" fontId="0" fillId="19" borderId="0" xfId="0" applyFill="1"/>
    <xf numFmtId="0" fontId="25" fillId="20" borderId="0" xfId="0" applyFont="1" applyFill="1"/>
    <xf numFmtId="0" fontId="0" fillId="20" borderId="0" xfId="0" applyFill="1"/>
    <xf numFmtId="0" fontId="0" fillId="21" borderId="0" xfId="0" applyFill="1"/>
    <xf numFmtId="0" fontId="27" fillId="22" borderId="8" xfId="0" applyFont="1" applyFill="1" applyBorder="1" applyAlignment="1">
      <alignment vertical="center" wrapText="1"/>
    </xf>
    <xf numFmtId="0" fontId="0" fillId="22" borderId="0" xfId="0" applyFill="1"/>
    <xf numFmtId="0" fontId="25" fillId="19" borderId="0" xfId="0" applyFont="1" applyFill="1"/>
    <xf numFmtId="0" fontId="0" fillId="23" borderId="0" xfId="0" applyFill="1"/>
    <xf numFmtId="0" fontId="28" fillId="0" borderId="0" xfId="0" applyFont="1"/>
    <xf numFmtId="0" fontId="3" fillId="3" borderId="8" xfId="2" applyBorder="1" applyAlignment="1">
      <alignment vertical="center" wrapText="1"/>
    </xf>
  </cellXfs>
  <cellStyles count="6">
    <cellStyle name="Bad" xfId="2" builtinId="27"/>
    <cellStyle name="Good" xfId="1" builtinId="26"/>
    <cellStyle name="Input" xfId="4" builtinId="20"/>
    <cellStyle name="Neutral" xfId="3" builtinId="28"/>
    <cellStyle name="Normal" xfId="0" builtinId="0"/>
    <cellStyle name="Note" xfId="5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26776-4FDB-4443-ADEB-52BD36B2824A}">
  <dimension ref="A1:O317"/>
  <sheetViews>
    <sheetView tabSelected="1" workbookViewId="0">
      <pane ySplit="1" topLeftCell="A304" activePane="bottomLeft" state="frozen"/>
      <selection pane="bottomLeft" activeCell="A318" sqref="A318"/>
    </sheetView>
  </sheetViews>
  <sheetFormatPr defaultRowHeight="15" x14ac:dyDescent="0.25"/>
  <cols>
    <col min="1" max="1" width="20.140625" customWidth="1"/>
    <col min="4" max="4" width="11.7109375" customWidth="1"/>
    <col min="11" max="11" width="10.85546875" customWidth="1"/>
    <col min="13" max="13" width="16.140625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259</v>
      </c>
      <c r="K1" s="1" t="s">
        <v>9</v>
      </c>
      <c r="L1" s="3" t="s">
        <v>10</v>
      </c>
      <c r="M1" s="3" t="s">
        <v>11</v>
      </c>
      <c r="N1" s="1" t="s">
        <v>12</v>
      </c>
      <c r="O1" s="3"/>
    </row>
    <row r="2" spans="1:15" x14ac:dyDescent="0.25">
      <c r="A2" s="4" t="s">
        <v>13</v>
      </c>
      <c r="B2" s="5" t="s">
        <v>14</v>
      </c>
      <c r="C2" s="5" t="s">
        <v>15</v>
      </c>
      <c r="D2" s="5"/>
      <c r="E2" s="5" t="s">
        <v>16</v>
      </c>
      <c r="F2" s="5">
        <v>8.5</v>
      </c>
      <c r="G2" s="5">
        <v>25</v>
      </c>
      <c r="H2" s="5">
        <v>7</v>
      </c>
      <c r="I2" s="5">
        <v>30</v>
      </c>
      <c r="J2" t="s">
        <v>17</v>
      </c>
      <c r="K2" s="5">
        <v>339.6</v>
      </c>
      <c r="L2" s="5"/>
      <c r="M2" s="6"/>
      <c r="N2" s="6"/>
      <c r="O2" s="6"/>
    </row>
    <row r="3" spans="1:15" x14ac:dyDescent="0.25">
      <c r="A3" s="4" t="s">
        <v>13</v>
      </c>
      <c r="B3" s="1" t="s">
        <v>14</v>
      </c>
      <c r="C3" s="1" t="s">
        <v>18</v>
      </c>
      <c r="D3" s="1">
        <v>0.99</v>
      </c>
      <c r="E3" s="1" t="s">
        <v>16</v>
      </c>
      <c r="F3" s="1">
        <v>8.5</v>
      </c>
      <c r="G3" s="1">
        <v>25</v>
      </c>
      <c r="H3" s="1">
        <v>7</v>
      </c>
      <c r="I3" s="1">
        <v>30</v>
      </c>
      <c r="J3" t="s">
        <v>17</v>
      </c>
      <c r="K3" s="1">
        <v>199.2</v>
      </c>
      <c r="L3" s="1"/>
      <c r="M3" s="3"/>
      <c r="N3" s="3"/>
      <c r="O3" s="3"/>
    </row>
    <row r="4" spans="1:15" x14ac:dyDescent="0.25">
      <c r="A4" s="4" t="s">
        <v>13</v>
      </c>
      <c r="B4" s="1" t="s">
        <v>14</v>
      </c>
      <c r="C4" s="1" t="s">
        <v>19</v>
      </c>
      <c r="D4" s="1">
        <v>0.53</v>
      </c>
      <c r="E4" s="1" t="s">
        <v>16</v>
      </c>
      <c r="F4" s="1">
        <v>8.5</v>
      </c>
      <c r="G4" s="1">
        <v>25</v>
      </c>
      <c r="H4" s="1">
        <v>7</v>
      </c>
      <c r="I4" s="1">
        <v>30</v>
      </c>
      <c r="J4" t="s">
        <v>17</v>
      </c>
      <c r="K4" s="1">
        <v>234.5</v>
      </c>
      <c r="L4" s="1"/>
      <c r="M4" s="3"/>
      <c r="N4" s="3"/>
      <c r="O4" s="3"/>
    </row>
    <row r="5" spans="1:15" x14ac:dyDescent="0.25">
      <c r="A5" s="4" t="s">
        <v>13</v>
      </c>
      <c r="B5" s="1" t="s">
        <v>20</v>
      </c>
      <c r="C5" s="1" t="s">
        <v>21</v>
      </c>
      <c r="D5" s="1">
        <v>5.12</v>
      </c>
      <c r="E5" s="1" t="s">
        <v>16</v>
      </c>
      <c r="F5" s="1">
        <v>51</v>
      </c>
      <c r="G5" s="1">
        <v>25</v>
      </c>
      <c r="H5" s="1">
        <v>7</v>
      </c>
      <c r="I5" s="1">
        <v>30</v>
      </c>
      <c r="J5" t="s">
        <v>17</v>
      </c>
      <c r="K5" s="7">
        <v>2523</v>
      </c>
      <c r="L5" t="s">
        <v>22</v>
      </c>
      <c r="M5" s="3"/>
      <c r="N5" s="3"/>
      <c r="O5" s="3"/>
    </row>
    <row r="6" spans="1:15" x14ac:dyDescent="0.25">
      <c r="A6" s="8" t="s">
        <v>23</v>
      </c>
      <c r="B6" s="8" t="s">
        <v>14</v>
      </c>
      <c r="C6" s="8" t="s">
        <v>24</v>
      </c>
      <c r="D6" s="8"/>
      <c r="E6" s="8" t="s">
        <v>16</v>
      </c>
      <c r="F6" s="8"/>
      <c r="G6" s="8">
        <v>25</v>
      </c>
      <c r="H6" s="8">
        <v>7</v>
      </c>
      <c r="I6" s="8">
        <v>270</v>
      </c>
      <c r="J6" t="s">
        <v>17</v>
      </c>
      <c r="K6" s="8">
        <v>30.5</v>
      </c>
      <c r="L6" s="8"/>
      <c r="M6" s="9"/>
      <c r="N6" s="9"/>
      <c r="O6" s="9"/>
    </row>
    <row r="7" spans="1:15" x14ac:dyDescent="0.25">
      <c r="A7" s="5" t="s">
        <v>25</v>
      </c>
      <c r="B7" s="5" t="s">
        <v>14</v>
      </c>
      <c r="C7" s="5" t="s">
        <v>15</v>
      </c>
      <c r="D7" s="5">
        <v>8.7100000000000009</v>
      </c>
      <c r="E7" s="5" t="s">
        <v>26</v>
      </c>
      <c r="F7" s="5">
        <v>5.0250000000000004</v>
      </c>
      <c r="G7" s="5">
        <v>25</v>
      </c>
      <c r="H7" s="5">
        <v>6</v>
      </c>
      <c r="I7" s="5">
        <v>200</v>
      </c>
      <c r="J7" t="s">
        <v>17</v>
      </c>
      <c r="K7" s="5">
        <v>432</v>
      </c>
      <c r="L7" s="5"/>
      <c r="M7" s="6"/>
      <c r="N7" s="6"/>
      <c r="O7" s="6"/>
    </row>
    <row r="8" spans="1:15" x14ac:dyDescent="0.25">
      <c r="A8" s="5" t="s">
        <v>25</v>
      </c>
      <c r="B8" s="10" t="s">
        <v>20</v>
      </c>
      <c r="C8" s="10" t="s">
        <v>15</v>
      </c>
      <c r="D8" s="10"/>
      <c r="E8" s="10" t="s">
        <v>26</v>
      </c>
      <c r="F8" s="10">
        <v>5.0250000000000004</v>
      </c>
      <c r="G8" s="10">
        <v>25</v>
      </c>
      <c r="H8" s="10">
        <v>6</v>
      </c>
      <c r="I8" s="10">
        <v>200</v>
      </c>
      <c r="J8" t="s">
        <v>17</v>
      </c>
      <c r="K8" s="10">
        <v>265</v>
      </c>
      <c r="L8" s="10" t="s">
        <v>27</v>
      </c>
      <c r="M8" s="10"/>
      <c r="N8" s="10"/>
      <c r="O8" s="10"/>
    </row>
    <row r="9" spans="1:15" x14ac:dyDescent="0.25">
      <c r="A9" s="5" t="s">
        <v>25</v>
      </c>
      <c r="B9" s="1" t="s">
        <v>14</v>
      </c>
      <c r="C9" s="1" t="s">
        <v>28</v>
      </c>
      <c r="D9" s="1">
        <v>1E-3</v>
      </c>
      <c r="E9" s="1" t="s">
        <v>26</v>
      </c>
      <c r="F9" s="1">
        <v>5.0250000000000004</v>
      </c>
      <c r="G9" s="1">
        <v>25</v>
      </c>
      <c r="H9" s="1">
        <v>6</v>
      </c>
      <c r="I9" s="1">
        <v>200</v>
      </c>
      <c r="J9" t="s">
        <v>17</v>
      </c>
      <c r="K9" s="1">
        <v>8.2799999999999994</v>
      </c>
      <c r="L9" s="1"/>
      <c r="M9" s="3"/>
      <c r="N9" s="3"/>
      <c r="O9" s="3"/>
    </row>
    <row r="10" spans="1:15" x14ac:dyDescent="0.25">
      <c r="A10" s="5" t="s">
        <v>25</v>
      </c>
      <c r="B10" s="1" t="s">
        <v>14</v>
      </c>
      <c r="C10" s="1" t="s">
        <v>29</v>
      </c>
      <c r="D10" s="1">
        <v>0.47499999999999998</v>
      </c>
      <c r="E10" s="1" t="s">
        <v>26</v>
      </c>
      <c r="F10" s="1">
        <v>5.0250000000000004</v>
      </c>
      <c r="G10" s="1">
        <v>25</v>
      </c>
      <c r="H10" s="1">
        <v>6</v>
      </c>
      <c r="I10" s="1">
        <v>200</v>
      </c>
      <c r="J10" t="s">
        <v>17</v>
      </c>
      <c r="K10" s="1">
        <v>8.7200000000000024</v>
      </c>
      <c r="L10" s="1"/>
      <c r="M10" s="3"/>
      <c r="N10" s="3"/>
      <c r="O10" s="3"/>
    </row>
    <row r="11" spans="1:15" x14ac:dyDescent="0.25">
      <c r="A11" s="5" t="s">
        <v>25</v>
      </c>
      <c r="B11" s="1" t="s">
        <v>14</v>
      </c>
      <c r="C11" s="1" t="s">
        <v>30</v>
      </c>
      <c r="D11" s="1">
        <v>0.55600000000000005</v>
      </c>
      <c r="E11" s="1" t="s">
        <v>26</v>
      </c>
      <c r="F11" s="1">
        <v>5.0250000000000004</v>
      </c>
      <c r="G11" s="1">
        <v>25</v>
      </c>
      <c r="H11" s="1">
        <v>6</v>
      </c>
      <c r="I11" s="1">
        <v>200</v>
      </c>
      <c r="J11" t="s">
        <v>17</v>
      </c>
      <c r="K11" s="1">
        <v>6.2899999999999991</v>
      </c>
      <c r="L11" s="1"/>
      <c r="M11" s="3"/>
      <c r="N11" s="3"/>
      <c r="O11" s="3"/>
    </row>
    <row r="12" spans="1:15" x14ac:dyDescent="0.25">
      <c r="A12" s="5" t="s">
        <v>25</v>
      </c>
      <c r="B12" s="1" t="s">
        <v>14</v>
      </c>
      <c r="C12" s="1" t="s">
        <v>31</v>
      </c>
      <c r="D12" s="1">
        <v>0.11</v>
      </c>
      <c r="E12" s="1" t="s">
        <v>26</v>
      </c>
      <c r="F12" s="1">
        <v>5.0250000000000004</v>
      </c>
      <c r="G12" s="1">
        <v>25</v>
      </c>
      <c r="H12" s="1">
        <v>6</v>
      </c>
      <c r="I12" s="1">
        <v>200</v>
      </c>
      <c r="J12" t="s">
        <v>17</v>
      </c>
      <c r="K12" s="1">
        <v>41</v>
      </c>
      <c r="L12" s="1"/>
      <c r="M12" s="3"/>
      <c r="N12" s="3"/>
      <c r="O12" s="3"/>
    </row>
    <row r="13" spans="1:15" x14ac:dyDescent="0.25">
      <c r="A13" s="5" t="s">
        <v>25</v>
      </c>
      <c r="B13" s="1" t="s">
        <v>20</v>
      </c>
      <c r="C13" s="1" t="s">
        <v>31</v>
      </c>
      <c r="D13" s="1"/>
      <c r="E13" s="1" t="s">
        <v>26</v>
      </c>
      <c r="F13" s="1">
        <v>5.0250000000000004</v>
      </c>
      <c r="G13" s="1">
        <v>25</v>
      </c>
      <c r="H13" s="1">
        <v>6</v>
      </c>
      <c r="I13" s="1">
        <v>200</v>
      </c>
      <c r="J13" t="s">
        <v>17</v>
      </c>
      <c r="K13" s="1">
        <v>79.400000000000006</v>
      </c>
      <c r="L13" s="10" t="s">
        <v>27</v>
      </c>
      <c r="M13" s="3"/>
      <c r="N13" s="3"/>
      <c r="O13" s="3"/>
    </row>
    <row r="14" spans="1:15" x14ac:dyDescent="0.25">
      <c r="A14" s="11" t="s">
        <v>32</v>
      </c>
      <c r="B14" s="11" t="s">
        <v>14</v>
      </c>
      <c r="C14" s="11" t="s">
        <v>28</v>
      </c>
      <c r="D14" s="11">
        <v>8.2799999999999994</v>
      </c>
      <c r="E14" s="11" t="s">
        <v>33</v>
      </c>
      <c r="F14" s="11">
        <v>30</v>
      </c>
      <c r="G14" s="11">
        <v>25</v>
      </c>
      <c r="H14" s="11">
        <v>7</v>
      </c>
      <c r="I14" s="11">
        <v>200</v>
      </c>
      <c r="J14" t="s">
        <v>17</v>
      </c>
      <c r="K14" s="11">
        <v>2840</v>
      </c>
      <c r="L14" s="11"/>
      <c r="M14" s="12"/>
      <c r="N14" s="12"/>
      <c r="O14" s="12"/>
    </row>
    <row r="15" spans="1:15" x14ac:dyDescent="0.25">
      <c r="A15" s="11" t="s">
        <v>32</v>
      </c>
      <c r="B15" s="11" t="s">
        <v>14</v>
      </c>
      <c r="C15" s="1" t="s">
        <v>28</v>
      </c>
      <c r="D15" s="1">
        <v>7.92</v>
      </c>
      <c r="E15" s="1" t="s">
        <v>33</v>
      </c>
      <c r="F15" s="1">
        <v>30</v>
      </c>
      <c r="G15" s="1">
        <v>25</v>
      </c>
      <c r="H15" s="1">
        <v>7</v>
      </c>
      <c r="I15" s="1">
        <v>200</v>
      </c>
      <c r="J15" t="s">
        <v>34</v>
      </c>
      <c r="K15" s="1">
        <v>11830</v>
      </c>
      <c r="L15" s="3"/>
      <c r="M15" s="3" t="s">
        <v>35</v>
      </c>
      <c r="N15" s="1" t="s">
        <v>36</v>
      </c>
      <c r="O15" s="3"/>
    </row>
    <row r="16" spans="1:15" x14ac:dyDescent="0.25">
      <c r="A16" s="11" t="s">
        <v>32</v>
      </c>
      <c r="B16" s="11" t="s">
        <v>14</v>
      </c>
      <c r="C16" s="1" t="s">
        <v>28</v>
      </c>
      <c r="D16" s="1">
        <v>7.41</v>
      </c>
      <c r="E16" s="1" t="s">
        <v>33</v>
      </c>
      <c r="F16" s="1">
        <v>30</v>
      </c>
      <c r="G16" s="1">
        <v>25</v>
      </c>
      <c r="H16" s="1">
        <v>7</v>
      </c>
      <c r="I16" s="1">
        <v>200</v>
      </c>
      <c r="J16" t="s">
        <v>34</v>
      </c>
      <c r="K16" s="1">
        <v>11350</v>
      </c>
      <c r="L16" s="3"/>
      <c r="M16" s="3" t="s">
        <v>35</v>
      </c>
      <c r="N16" s="1" t="s">
        <v>37</v>
      </c>
      <c r="O16" s="3"/>
    </row>
    <row r="17" spans="1:15" x14ac:dyDescent="0.25">
      <c r="A17" s="11" t="s">
        <v>32</v>
      </c>
      <c r="B17" s="11" t="s">
        <v>14</v>
      </c>
      <c r="C17" s="1" t="s">
        <v>28</v>
      </c>
      <c r="D17" s="1">
        <v>6.58</v>
      </c>
      <c r="E17" s="1" t="s">
        <v>33</v>
      </c>
      <c r="F17" s="1">
        <v>30</v>
      </c>
      <c r="G17" s="1">
        <v>25</v>
      </c>
      <c r="H17" s="1">
        <v>7</v>
      </c>
      <c r="I17" s="1">
        <v>200</v>
      </c>
      <c r="J17" t="s">
        <v>34</v>
      </c>
      <c r="K17" s="1">
        <v>9420</v>
      </c>
      <c r="L17" s="3"/>
      <c r="M17" s="3" t="s">
        <v>35</v>
      </c>
      <c r="N17" s="1" t="s">
        <v>38</v>
      </c>
      <c r="O17" s="3"/>
    </row>
    <row r="18" spans="1:15" x14ac:dyDescent="0.25">
      <c r="A18" s="11" t="s">
        <v>32</v>
      </c>
      <c r="B18" s="11" t="s">
        <v>14</v>
      </c>
      <c r="C18" s="1" t="s">
        <v>28</v>
      </c>
      <c r="D18" s="1">
        <v>8.11</v>
      </c>
      <c r="E18" s="1" t="s">
        <v>33</v>
      </c>
      <c r="F18" s="1">
        <v>30</v>
      </c>
      <c r="G18" s="1">
        <v>25</v>
      </c>
      <c r="H18" s="1">
        <v>7</v>
      </c>
      <c r="I18" s="1">
        <v>200</v>
      </c>
      <c r="J18" t="s">
        <v>34</v>
      </c>
      <c r="K18" s="1">
        <v>11030</v>
      </c>
      <c r="L18" s="3"/>
      <c r="M18" s="3" t="s">
        <v>39</v>
      </c>
      <c r="N18" s="1" t="s">
        <v>40</v>
      </c>
      <c r="O18" s="3"/>
    </row>
    <row r="19" spans="1:15" x14ac:dyDescent="0.25">
      <c r="A19" s="11" t="s">
        <v>32</v>
      </c>
      <c r="B19" s="11" t="s">
        <v>14</v>
      </c>
      <c r="C19" s="1" t="s">
        <v>28</v>
      </c>
      <c r="D19" s="1">
        <v>7.58</v>
      </c>
      <c r="E19" s="1" t="s">
        <v>33</v>
      </c>
      <c r="F19" s="1">
        <v>30</v>
      </c>
      <c r="G19" s="1">
        <v>25</v>
      </c>
      <c r="H19" s="1">
        <v>7</v>
      </c>
      <c r="I19" s="1">
        <v>200</v>
      </c>
      <c r="J19" t="s">
        <v>34</v>
      </c>
      <c r="K19" s="1">
        <v>10380</v>
      </c>
      <c r="L19" s="3"/>
      <c r="M19" s="3" t="s">
        <v>39</v>
      </c>
      <c r="N19" s="1" t="s">
        <v>41</v>
      </c>
      <c r="O19" s="3"/>
    </row>
    <row r="20" spans="1:15" x14ac:dyDescent="0.25">
      <c r="A20" s="11" t="s">
        <v>32</v>
      </c>
      <c r="B20" s="11" t="s">
        <v>14</v>
      </c>
      <c r="C20" s="1" t="s">
        <v>28</v>
      </c>
      <c r="D20" s="1">
        <v>6.82</v>
      </c>
      <c r="E20" s="1" t="s">
        <v>33</v>
      </c>
      <c r="F20" s="1">
        <v>30</v>
      </c>
      <c r="G20" s="1">
        <v>25</v>
      </c>
      <c r="H20" s="1">
        <v>7</v>
      </c>
      <c r="I20" s="1">
        <v>200</v>
      </c>
      <c r="J20" t="s">
        <v>34</v>
      </c>
      <c r="K20" s="1">
        <v>8410</v>
      </c>
      <c r="L20" s="3"/>
      <c r="M20" s="3" t="s">
        <v>39</v>
      </c>
      <c r="N20" s="1" t="s">
        <v>42</v>
      </c>
      <c r="O20" s="3"/>
    </row>
    <row r="21" spans="1:15" x14ac:dyDescent="0.25">
      <c r="A21" s="8" t="s">
        <v>43</v>
      </c>
      <c r="B21" s="8" t="s">
        <v>14</v>
      </c>
      <c r="C21" s="8" t="s">
        <v>19</v>
      </c>
      <c r="D21" s="8">
        <v>0.17299999999999999</v>
      </c>
      <c r="E21" s="8" t="s">
        <v>16</v>
      </c>
      <c r="F21" s="8"/>
      <c r="G21" s="8">
        <v>25</v>
      </c>
      <c r="H21" s="8">
        <v>7</v>
      </c>
      <c r="I21" s="8">
        <v>150</v>
      </c>
      <c r="J21" t="s">
        <v>17</v>
      </c>
      <c r="K21" s="8">
        <v>36.630000000000003</v>
      </c>
      <c r="L21" s="8"/>
      <c r="M21" s="9"/>
      <c r="N21" s="9"/>
      <c r="O21" s="9"/>
    </row>
    <row r="22" spans="1:15" x14ac:dyDescent="0.25">
      <c r="A22" s="8" t="s">
        <v>43</v>
      </c>
      <c r="B22" s="1" t="s">
        <v>14</v>
      </c>
      <c r="C22" s="1" t="s">
        <v>18</v>
      </c>
      <c r="D22" s="1">
        <v>0.34799999999999998</v>
      </c>
      <c r="E22" s="1" t="s">
        <v>16</v>
      </c>
      <c r="F22" s="1"/>
      <c r="G22" s="1">
        <v>25</v>
      </c>
      <c r="H22" s="1">
        <v>7</v>
      </c>
      <c r="I22" s="1">
        <v>150</v>
      </c>
      <c r="J22" t="s">
        <v>17</v>
      </c>
      <c r="K22" s="1">
        <v>36.1</v>
      </c>
      <c r="L22" s="1"/>
      <c r="M22" s="3"/>
      <c r="N22" s="3"/>
      <c r="O22" s="3"/>
    </row>
    <row r="23" spans="1:15" x14ac:dyDescent="0.25">
      <c r="A23" s="8" t="s">
        <v>43</v>
      </c>
      <c r="B23" s="1" t="s">
        <v>14</v>
      </c>
      <c r="C23" s="1" t="s">
        <v>28</v>
      </c>
      <c r="D23" s="1">
        <v>0.50800000000000001</v>
      </c>
      <c r="E23" s="1" t="s">
        <v>16</v>
      </c>
      <c r="F23" s="1"/>
      <c r="G23" s="1">
        <v>25</v>
      </c>
      <c r="H23" s="1">
        <v>7</v>
      </c>
      <c r="I23" s="1">
        <v>150</v>
      </c>
      <c r="J23" t="s">
        <v>17</v>
      </c>
      <c r="K23" s="1">
        <v>40.49</v>
      </c>
      <c r="L23" s="1"/>
      <c r="M23" s="3"/>
      <c r="N23" s="3"/>
      <c r="O23" s="3"/>
    </row>
    <row r="24" spans="1:15" ht="15.75" thickBot="1" x14ac:dyDescent="0.3">
      <c r="A24" s="8" t="s">
        <v>43</v>
      </c>
      <c r="B24" s="1" t="s">
        <v>14</v>
      </c>
      <c r="C24" s="1" t="s">
        <v>30</v>
      </c>
      <c r="D24" s="1">
        <v>0.83599999999999997</v>
      </c>
      <c r="E24" s="1" t="s">
        <v>16</v>
      </c>
      <c r="F24" s="1"/>
      <c r="G24" s="1">
        <v>25</v>
      </c>
      <c r="H24" s="1">
        <v>7</v>
      </c>
      <c r="I24" s="1">
        <v>150</v>
      </c>
      <c r="J24" t="s">
        <v>17</v>
      </c>
      <c r="K24" s="1">
        <v>53.48</v>
      </c>
      <c r="L24" s="1"/>
      <c r="M24" s="3"/>
      <c r="N24" s="3"/>
      <c r="O24" s="3"/>
    </row>
    <row r="25" spans="1:15" x14ac:dyDescent="0.25">
      <c r="A25" s="5" t="s">
        <v>272</v>
      </c>
      <c r="B25" s="5" t="s">
        <v>14</v>
      </c>
      <c r="C25" s="5" t="s">
        <v>28</v>
      </c>
      <c r="D25" s="5"/>
      <c r="E25" s="5" t="s">
        <v>44</v>
      </c>
      <c r="F25" s="1">
        <v>1.05</v>
      </c>
      <c r="G25" s="5">
        <v>25</v>
      </c>
      <c r="H25" s="5">
        <v>7</v>
      </c>
      <c r="I25" s="5">
        <v>150</v>
      </c>
      <c r="J25" t="s">
        <v>17</v>
      </c>
      <c r="K25" s="13">
        <v>160</v>
      </c>
      <c r="L25" s="5"/>
      <c r="M25" s="6"/>
      <c r="N25" s="6"/>
      <c r="O25" s="6"/>
    </row>
    <row r="26" spans="1:15" x14ac:dyDescent="0.25">
      <c r="A26" s="5" t="s">
        <v>272</v>
      </c>
      <c r="B26" s="1" t="s">
        <v>20</v>
      </c>
      <c r="C26" s="1" t="s">
        <v>28</v>
      </c>
      <c r="D26" s="1"/>
      <c r="E26" s="1" t="s">
        <v>44</v>
      </c>
      <c r="F26" s="1">
        <v>1.05</v>
      </c>
      <c r="G26" s="1">
        <v>25</v>
      </c>
      <c r="H26" s="1">
        <v>7</v>
      </c>
      <c r="I26" s="1">
        <v>150</v>
      </c>
      <c r="J26" t="s">
        <v>17</v>
      </c>
      <c r="K26" s="14">
        <v>183</v>
      </c>
      <c r="L26" s="1" t="s">
        <v>45</v>
      </c>
      <c r="M26" s="3"/>
      <c r="N26" s="3"/>
      <c r="O26" s="3"/>
    </row>
    <row r="27" spans="1:15" x14ac:dyDescent="0.25">
      <c r="A27" s="5" t="s">
        <v>272</v>
      </c>
      <c r="B27" s="1" t="s">
        <v>20</v>
      </c>
      <c r="C27" s="1" t="s">
        <v>28</v>
      </c>
      <c r="D27" s="1"/>
      <c r="E27" s="1" t="s">
        <v>44</v>
      </c>
      <c r="F27" s="1">
        <v>1.05</v>
      </c>
      <c r="G27" s="1">
        <v>25</v>
      </c>
      <c r="H27" s="1">
        <v>7</v>
      </c>
      <c r="I27" s="1">
        <v>150</v>
      </c>
      <c r="J27" t="s">
        <v>17</v>
      </c>
      <c r="K27" s="14">
        <v>203</v>
      </c>
      <c r="L27" s="1" t="s">
        <v>46</v>
      </c>
      <c r="M27" s="3"/>
      <c r="N27" s="3"/>
      <c r="O27" s="3"/>
    </row>
    <row r="28" spans="1:15" x14ac:dyDescent="0.25">
      <c r="A28" s="5" t="s">
        <v>272</v>
      </c>
      <c r="B28" s="1" t="s">
        <v>20</v>
      </c>
      <c r="C28" s="1" t="s">
        <v>28</v>
      </c>
      <c r="D28" s="1"/>
      <c r="E28" s="1" t="s">
        <v>44</v>
      </c>
      <c r="F28" s="1">
        <v>1.05</v>
      </c>
      <c r="G28" s="1">
        <v>25</v>
      </c>
      <c r="H28" s="1">
        <v>7</v>
      </c>
      <c r="I28" s="1">
        <v>150</v>
      </c>
      <c r="J28" t="s">
        <v>17</v>
      </c>
      <c r="K28" s="14">
        <v>202</v>
      </c>
      <c r="L28" s="1" t="s">
        <v>47</v>
      </c>
      <c r="M28" s="3"/>
      <c r="N28" s="3"/>
      <c r="O28" s="3"/>
    </row>
    <row r="29" spans="1:15" x14ac:dyDescent="0.25">
      <c r="A29" s="5" t="s">
        <v>272</v>
      </c>
      <c r="B29" s="5" t="s">
        <v>14</v>
      </c>
      <c r="C29" s="1" t="s">
        <v>28</v>
      </c>
      <c r="D29" s="1"/>
      <c r="E29" s="1" t="s">
        <v>26</v>
      </c>
      <c r="F29" s="1">
        <v>1.05</v>
      </c>
      <c r="G29" s="1">
        <v>25</v>
      </c>
      <c r="H29" s="1">
        <v>7</v>
      </c>
      <c r="I29" s="1">
        <v>150</v>
      </c>
      <c r="J29" t="s">
        <v>17</v>
      </c>
      <c r="K29" s="14">
        <v>210</v>
      </c>
      <c r="L29" s="1"/>
      <c r="M29" s="3"/>
      <c r="N29" s="3"/>
      <c r="O29" s="3"/>
    </row>
    <row r="30" spans="1:15" x14ac:dyDescent="0.25">
      <c r="A30" s="5" t="s">
        <v>272</v>
      </c>
      <c r="B30" s="1" t="s">
        <v>20</v>
      </c>
      <c r="C30" s="1" t="s">
        <v>28</v>
      </c>
      <c r="D30" s="1"/>
      <c r="E30" s="1" t="s">
        <v>26</v>
      </c>
      <c r="F30" s="1">
        <v>1.05</v>
      </c>
      <c r="G30" s="1">
        <v>25</v>
      </c>
      <c r="H30" s="1">
        <v>7</v>
      </c>
      <c r="I30" s="1">
        <v>150</v>
      </c>
      <c r="J30" t="s">
        <v>17</v>
      </c>
      <c r="K30" s="14">
        <v>171</v>
      </c>
      <c r="L30" s="1" t="s">
        <v>45</v>
      </c>
      <c r="M30" s="3"/>
      <c r="N30" s="3"/>
      <c r="O30" s="3"/>
    </row>
    <row r="31" spans="1:15" x14ac:dyDescent="0.25">
      <c r="A31" s="5" t="s">
        <v>272</v>
      </c>
      <c r="B31" s="1" t="s">
        <v>20</v>
      </c>
      <c r="C31" s="1" t="s">
        <v>28</v>
      </c>
      <c r="D31" s="1"/>
      <c r="E31" s="1" t="s">
        <v>26</v>
      </c>
      <c r="F31" s="1">
        <v>1.05</v>
      </c>
      <c r="G31" s="1">
        <v>25</v>
      </c>
      <c r="H31" s="1">
        <v>7</v>
      </c>
      <c r="I31" s="1">
        <v>150</v>
      </c>
      <c r="J31" t="s">
        <v>17</v>
      </c>
      <c r="K31" s="14">
        <v>162</v>
      </c>
      <c r="L31" s="1" t="s">
        <v>46</v>
      </c>
      <c r="M31" s="3"/>
      <c r="N31" s="3"/>
      <c r="O31" s="3"/>
    </row>
    <row r="32" spans="1:15" x14ac:dyDescent="0.25">
      <c r="A32" s="5" t="s">
        <v>272</v>
      </c>
      <c r="B32" s="1" t="s">
        <v>20</v>
      </c>
      <c r="C32" s="1" t="s">
        <v>28</v>
      </c>
      <c r="D32" s="1"/>
      <c r="E32" s="1" t="s">
        <v>26</v>
      </c>
      <c r="F32" s="1">
        <v>1.05</v>
      </c>
      <c r="G32" s="1">
        <v>25</v>
      </c>
      <c r="H32" s="1">
        <v>7</v>
      </c>
      <c r="I32" s="1">
        <v>150</v>
      </c>
      <c r="J32" t="s">
        <v>17</v>
      </c>
      <c r="K32" s="14">
        <v>173</v>
      </c>
      <c r="L32" s="1" t="s">
        <v>47</v>
      </c>
      <c r="M32" s="3"/>
      <c r="N32" s="3"/>
      <c r="O32" s="3"/>
    </row>
    <row r="33" spans="1:15" x14ac:dyDescent="0.25">
      <c r="A33" s="5" t="s">
        <v>272</v>
      </c>
      <c r="B33" s="5" t="s">
        <v>14</v>
      </c>
      <c r="C33" s="1" t="s">
        <v>28</v>
      </c>
      <c r="D33" s="1"/>
      <c r="E33" s="1" t="s">
        <v>16</v>
      </c>
      <c r="F33" s="1">
        <v>1.05</v>
      </c>
      <c r="G33" s="1">
        <v>25</v>
      </c>
      <c r="H33" s="1">
        <v>7</v>
      </c>
      <c r="I33" s="1">
        <v>150</v>
      </c>
      <c r="J33" t="s">
        <v>17</v>
      </c>
      <c r="K33" s="15">
        <v>105</v>
      </c>
      <c r="L33" s="1"/>
      <c r="M33" s="3"/>
      <c r="N33" s="3"/>
      <c r="O33" s="3"/>
    </row>
    <row r="34" spans="1:15" x14ac:dyDescent="0.25">
      <c r="A34" s="5" t="s">
        <v>272</v>
      </c>
      <c r="B34" s="1" t="s">
        <v>20</v>
      </c>
      <c r="C34" s="1" t="s">
        <v>28</v>
      </c>
      <c r="D34" s="1"/>
      <c r="E34" s="1" t="s">
        <v>16</v>
      </c>
      <c r="F34" s="1">
        <v>1.05</v>
      </c>
      <c r="G34" s="1">
        <v>25</v>
      </c>
      <c r="H34" s="1">
        <v>7</v>
      </c>
      <c r="I34" s="1">
        <v>150</v>
      </c>
      <c r="J34" t="s">
        <v>17</v>
      </c>
      <c r="K34" s="15">
        <v>133</v>
      </c>
      <c r="L34" s="1" t="s">
        <v>45</v>
      </c>
      <c r="M34" s="3"/>
      <c r="N34" s="3"/>
      <c r="O34" s="3"/>
    </row>
    <row r="35" spans="1:15" x14ac:dyDescent="0.25">
      <c r="A35" s="5" t="s">
        <v>272</v>
      </c>
      <c r="B35" s="1" t="s">
        <v>20</v>
      </c>
      <c r="C35" s="1" t="s">
        <v>28</v>
      </c>
      <c r="D35" s="1"/>
      <c r="E35" s="1" t="s">
        <v>16</v>
      </c>
      <c r="F35" s="1">
        <v>1.05</v>
      </c>
      <c r="G35" s="1">
        <v>25</v>
      </c>
      <c r="H35" s="1">
        <v>7</v>
      </c>
      <c r="I35" s="1">
        <v>150</v>
      </c>
      <c r="J35" t="s">
        <v>17</v>
      </c>
      <c r="K35" s="14">
        <v>157</v>
      </c>
      <c r="L35" s="1" t="s">
        <v>46</v>
      </c>
      <c r="M35" s="3"/>
      <c r="N35" s="3"/>
      <c r="O35" s="3"/>
    </row>
    <row r="36" spans="1:15" x14ac:dyDescent="0.25">
      <c r="A36" s="5" t="s">
        <v>272</v>
      </c>
      <c r="B36" s="1" t="s">
        <v>20</v>
      </c>
      <c r="C36" s="1" t="s">
        <v>28</v>
      </c>
      <c r="D36" s="1"/>
      <c r="E36" s="1" t="s">
        <v>16</v>
      </c>
      <c r="F36" s="1">
        <v>1.05</v>
      </c>
      <c r="G36" s="1">
        <v>25</v>
      </c>
      <c r="H36" s="1">
        <v>7</v>
      </c>
      <c r="I36" s="1">
        <v>150</v>
      </c>
      <c r="J36" t="s">
        <v>17</v>
      </c>
      <c r="K36" s="15">
        <v>175</v>
      </c>
      <c r="L36" s="1" t="s">
        <v>47</v>
      </c>
      <c r="M36" s="3"/>
      <c r="N36" s="3"/>
      <c r="O36" s="3"/>
    </row>
    <row r="37" spans="1:15" x14ac:dyDescent="0.25">
      <c r="A37" s="5" t="s">
        <v>272</v>
      </c>
      <c r="B37" s="5" t="s">
        <v>14</v>
      </c>
      <c r="C37" s="1" t="s">
        <v>28</v>
      </c>
      <c r="D37" s="1"/>
      <c r="E37" s="1" t="s">
        <v>48</v>
      </c>
      <c r="F37" s="1">
        <v>1.05</v>
      </c>
      <c r="G37" s="1">
        <v>25</v>
      </c>
      <c r="H37" s="1">
        <v>7</v>
      </c>
      <c r="I37" s="1">
        <v>150</v>
      </c>
      <c r="J37" t="s">
        <v>17</v>
      </c>
      <c r="K37" s="14">
        <v>125</v>
      </c>
      <c r="L37" s="1"/>
      <c r="M37" s="3"/>
      <c r="N37" s="3"/>
      <c r="O37" s="3"/>
    </row>
    <row r="38" spans="1:15" x14ac:dyDescent="0.25">
      <c r="A38" s="5" t="s">
        <v>272</v>
      </c>
      <c r="B38" s="1" t="s">
        <v>20</v>
      </c>
      <c r="C38" s="1" t="s">
        <v>28</v>
      </c>
      <c r="D38" s="1"/>
      <c r="E38" s="1" t="s">
        <v>48</v>
      </c>
      <c r="F38" s="1">
        <v>1.05</v>
      </c>
      <c r="G38" s="1">
        <v>25</v>
      </c>
      <c r="H38" s="1">
        <v>7</v>
      </c>
      <c r="I38" s="1">
        <v>150</v>
      </c>
      <c r="J38" t="s">
        <v>17</v>
      </c>
      <c r="K38" s="14">
        <v>140</v>
      </c>
      <c r="L38" s="1" t="s">
        <v>45</v>
      </c>
      <c r="M38" s="3"/>
      <c r="N38" s="3"/>
      <c r="O38" s="3"/>
    </row>
    <row r="39" spans="1:15" x14ac:dyDescent="0.25">
      <c r="A39" s="5" t="s">
        <v>272</v>
      </c>
      <c r="B39" s="1" t="s">
        <v>20</v>
      </c>
      <c r="C39" s="1" t="s">
        <v>28</v>
      </c>
      <c r="D39" s="1"/>
      <c r="E39" s="1" t="s">
        <v>48</v>
      </c>
      <c r="F39" s="1">
        <v>1.05</v>
      </c>
      <c r="G39" s="1">
        <v>25</v>
      </c>
      <c r="H39" s="1">
        <v>7</v>
      </c>
      <c r="I39" s="1">
        <v>150</v>
      </c>
      <c r="J39" t="s">
        <v>17</v>
      </c>
      <c r="K39" s="14">
        <v>143</v>
      </c>
      <c r="L39" s="1" t="s">
        <v>46</v>
      </c>
      <c r="M39" s="3"/>
      <c r="N39" s="3"/>
      <c r="O39" s="3"/>
    </row>
    <row r="40" spans="1:15" x14ac:dyDescent="0.25">
      <c r="A40" s="5" t="s">
        <v>272</v>
      </c>
      <c r="B40" s="1" t="s">
        <v>20</v>
      </c>
      <c r="C40" s="1" t="s">
        <v>28</v>
      </c>
      <c r="D40" s="1"/>
      <c r="E40" s="1" t="s">
        <v>48</v>
      </c>
      <c r="F40" s="1">
        <v>1.05</v>
      </c>
      <c r="G40" s="1">
        <v>25</v>
      </c>
      <c r="H40" s="1">
        <v>7</v>
      </c>
      <c r="I40" s="1">
        <v>150</v>
      </c>
      <c r="J40" t="s">
        <v>17</v>
      </c>
      <c r="K40" s="14">
        <v>196</v>
      </c>
      <c r="L40" s="1" t="s">
        <v>47</v>
      </c>
      <c r="M40" s="3"/>
      <c r="N40" s="3"/>
      <c r="O40" s="3"/>
    </row>
    <row r="41" spans="1:15" x14ac:dyDescent="0.25">
      <c r="A41" s="5" t="s">
        <v>272</v>
      </c>
      <c r="B41" s="5" t="s">
        <v>14</v>
      </c>
      <c r="C41" s="1" t="s">
        <v>28</v>
      </c>
      <c r="D41" s="1"/>
      <c r="E41" s="1" t="s">
        <v>49</v>
      </c>
      <c r="F41" s="1">
        <v>1.05</v>
      </c>
      <c r="G41" s="1">
        <v>25</v>
      </c>
      <c r="H41" s="1">
        <v>7</v>
      </c>
      <c r="I41" s="1">
        <v>150</v>
      </c>
      <c r="J41" t="s">
        <v>17</v>
      </c>
      <c r="K41" s="1">
        <v>78.099999999999994</v>
      </c>
      <c r="L41" s="1"/>
      <c r="M41" s="3"/>
      <c r="N41" s="3"/>
      <c r="O41" s="3"/>
    </row>
    <row r="42" spans="1:15" x14ac:dyDescent="0.25">
      <c r="A42" s="5" t="s">
        <v>272</v>
      </c>
      <c r="B42" s="1" t="s">
        <v>20</v>
      </c>
      <c r="C42" s="1" t="s">
        <v>28</v>
      </c>
      <c r="D42" s="1"/>
      <c r="E42" s="1" t="s">
        <v>49</v>
      </c>
      <c r="F42" s="1">
        <v>1.05</v>
      </c>
      <c r="G42" s="1">
        <v>25</v>
      </c>
      <c r="H42" s="1">
        <v>7</v>
      </c>
      <c r="I42" s="1">
        <v>150</v>
      </c>
      <c r="J42" t="s">
        <v>17</v>
      </c>
      <c r="K42" s="1">
        <v>128</v>
      </c>
      <c r="L42" s="1" t="s">
        <v>45</v>
      </c>
      <c r="M42" s="3"/>
      <c r="N42" s="3"/>
      <c r="O42" s="3"/>
    </row>
    <row r="43" spans="1:15" x14ac:dyDescent="0.25">
      <c r="A43" s="5" t="s">
        <v>272</v>
      </c>
      <c r="B43" s="1" t="s">
        <v>20</v>
      </c>
      <c r="C43" s="1" t="s">
        <v>28</v>
      </c>
      <c r="D43" s="1"/>
      <c r="E43" s="1" t="s">
        <v>49</v>
      </c>
      <c r="F43" s="1">
        <v>1.05</v>
      </c>
      <c r="G43" s="1">
        <v>25</v>
      </c>
      <c r="H43" s="1">
        <v>7</v>
      </c>
      <c r="I43" s="1">
        <v>150</v>
      </c>
      <c r="J43" t="s">
        <v>17</v>
      </c>
      <c r="K43" s="1">
        <v>158</v>
      </c>
      <c r="L43" s="1" t="s">
        <v>46</v>
      </c>
      <c r="M43" s="3"/>
      <c r="N43" s="3"/>
      <c r="O43" s="3"/>
    </row>
    <row r="44" spans="1:15" x14ac:dyDescent="0.25">
      <c r="A44" s="5" t="s">
        <v>272</v>
      </c>
      <c r="B44" s="1" t="s">
        <v>20</v>
      </c>
      <c r="C44" s="1" t="s">
        <v>28</v>
      </c>
      <c r="D44" s="1"/>
      <c r="E44" s="1" t="s">
        <v>49</v>
      </c>
      <c r="F44" s="1">
        <v>1.05</v>
      </c>
      <c r="G44" s="1">
        <v>25</v>
      </c>
      <c r="H44" s="1">
        <v>7</v>
      </c>
      <c r="I44" s="1">
        <v>150</v>
      </c>
      <c r="J44" t="s">
        <v>17</v>
      </c>
      <c r="K44" s="1">
        <v>183</v>
      </c>
      <c r="L44" s="1" t="s">
        <v>47</v>
      </c>
      <c r="M44" s="3"/>
      <c r="N44" s="3"/>
      <c r="O44" s="3"/>
    </row>
    <row r="45" spans="1:15" x14ac:dyDescent="0.25">
      <c r="A45" s="5" t="s">
        <v>272</v>
      </c>
      <c r="B45" s="1" t="s">
        <v>20</v>
      </c>
      <c r="C45" s="16" t="s">
        <v>28</v>
      </c>
      <c r="D45" s="16"/>
      <c r="E45" s="16" t="s">
        <v>44</v>
      </c>
      <c r="F45" s="16">
        <v>1.05</v>
      </c>
      <c r="G45" s="16">
        <v>25</v>
      </c>
      <c r="H45" s="16">
        <v>7</v>
      </c>
      <c r="I45" s="16">
        <v>150</v>
      </c>
      <c r="J45" t="s">
        <v>17</v>
      </c>
      <c r="K45" s="16">
        <v>199</v>
      </c>
      <c r="L45" s="16" t="s">
        <v>50</v>
      </c>
      <c r="M45" s="16"/>
      <c r="N45" s="16"/>
      <c r="O45" s="16"/>
    </row>
    <row r="46" spans="1:15" x14ac:dyDescent="0.25">
      <c r="A46" s="5" t="s">
        <v>272</v>
      </c>
      <c r="B46" s="1" t="s">
        <v>20</v>
      </c>
      <c r="C46" s="1" t="s">
        <v>28</v>
      </c>
      <c r="D46" s="1"/>
      <c r="E46" s="1" t="s">
        <v>44</v>
      </c>
      <c r="F46" s="1">
        <v>1.05</v>
      </c>
      <c r="G46" s="1">
        <v>25</v>
      </c>
      <c r="H46" s="1">
        <v>7</v>
      </c>
      <c r="I46" s="1">
        <v>150</v>
      </c>
      <c r="J46" t="s">
        <v>17</v>
      </c>
      <c r="K46" s="14">
        <v>199</v>
      </c>
      <c r="L46" s="16" t="s">
        <v>51</v>
      </c>
      <c r="M46" s="3"/>
      <c r="N46" s="3"/>
      <c r="O46" s="3"/>
    </row>
    <row r="47" spans="1:15" x14ac:dyDescent="0.25">
      <c r="A47" s="5" t="s">
        <v>272</v>
      </c>
      <c r="B47" s="1" t="s">
        <v>20</v>
      </c>
      <c r="C47" s="1" t="s">
        <v>28</v>
      </c>
      <c r="D47" s="1"/>
      <c r="E47" s="1" t="s">
        <v>44</v>
      </c>
      <c r="F47" s="1">
        <v>1.05</v>
      </c>
      <c r="G47" s="1">
        <v>25</v>
      </c>
      <c r="H47" s="1">
        <v>7</v>
      </c>
      <c r="I47" s="1">
        <v>150</v>
      </c>
      <c r="J47" t="s">
        <v>17</v>
      </c>
      <c r="K47" s="14">
        <v>202</v>
      </c>
      <c r="L47" s="16" t="s">
        <v>52</v>
      </c>
      <c r="M47" s="3"/>
      <c r="N47" s="3"/>
      <c r="O47" s="3"/>
    </row>
    <row r="48" spans="1:15" x14ac:dyDescent="0.25">
      <c r="A48" s="5" t="s">
        <v>272</v>
      </c>
      <c r="B48" s="1" t="s">
        <v>20</v>
      </c>
      <c r="C48" s="10" t="s">
        <v>28</v>
      </c>
      <c r="D48" s="10"/>
      <c r="E48" s="10" t="s">
        <v>26</v>
      </c>
      <c r="F48" s="10">
        <v>1.05</v>
      </c>
      <c r="G48" s="10">
        <v>25</v>
      </c>
      <c r="H48" s="10">
        <v>7</v>
      </c>
      <c r="I48" s="10">
        <v>150</v>
      </c>
      <c r="J48" t="s">
        <v>17</v>
      </c>
      <c r="K48" s="17">
        <v>176</v>
      </c>
      <c r="L48" s="16" t="s">
        <v>50</v>
      </c>
      <c r="M48" s="10"/>
      <c r="N48" s="10"/>
      <c r="O48" s="10"/>
    </row>
    <row r="49" spans="1:15" x14ac:dyDescent="0.25">
      <c r="A49" s="5" t="s">
        <v>272</v>
      </c>
      <c r="B49" s="1" t="s">
        <v>20</v>
      </c>
      <c r="C49" s="1" t="s">
        <v>28</v>
      </c>
      <c r="D49" s="1"/>
      <c r="E49" s="1" t="s">
        <v>26</v>
      </c>
      <c r="F49" s="1">
        <v>1.05</v>
      </c>
      <c r="G49" s="1">
        <v>25</v>
      </c>
      <c r="H49" s="1">
        <v>7</v>
      </c>
      <c r="I49" s="1">
        <v>150</v>
      </c>
      <c r="J49" t="s">
        <v>17</v>
      </c>
      <c r="K49" s="14">
        <v>170</v>
      </c>
      <c r="L49" s="16" t="s">
        <v>51</v>
      </c>
      <c r="M49" s="3"/>
      <c r="N49" s="3"/>
      <c r="O49" s="3"/>
    </row>
    <row r="50" spans="1:15" x14ac:dyDescent="0.25">
      <c r="A50" s="5" t="s">
        <v>272</v>
      </c>
      <c r="B50" s="1" t="s">
        <v>20</v>
      </c>
      <c r="C50" s="1" t="s">
        <v>28</v>
      </c>
      <c r="D50" s="1"/>
      <c r="E50" s="1" t="s">
        <v>26</v>
      </c>
      <c r="F50" s="1">
        <v>1.05</v>
      </c>
      <c r="G50" s="1">
        <v>25</v>
      </c>
      <c r="H50" s="1">
        <v>7</v>
      </c>
      <c r="I50" s="1">
        <v>150</v>
      </c>
      <c r="J50" t="s">
        <v>17</v>
      </c>
      <c r="K50" s="14">
        <v>173</v>
      </c>
      <c r="L50" s="16" t="s">
        <v>52</v>
      </c>
      <c r="M50" s="3"/>
      <c r="N50" s="3"/>
      <c r="O50" s="3"/>
    </row>
    <row r="51" spans="1:15" x14ac:dyDescent="0.25">
      <c r="A51" s="5" t="s">
        <v>272</v>
      </c>
      <c r="B51" s="1" t="s">
        <v>20</v>
      </c>
      <c r="C51" s="1" t="s">
        <v>28</v>
      </c>
      <c r="D51" s="1"/>
      <c r="E51" s="1" t="s">
        <v>16</v>
      </c>
      <c r="F51" s="1">
        <v>1.05</v>
      </c>
      <c r="G51" s="1">
        <v>25</v>
      </c>
      <c r="H51" s="1">
        <v>7</v>
      </c>
      <c r="I51" s="1">
        <v>150</v>
      </c>
      <c r="J51" t="s">
        <v>17</v>
      </c>
      <c r="K51" s="15">
        <v>168</v>
      </c>
      <c r="L51" s="16" t="s">
        <v>50</v>
      </c>
      <c r="M51" s="3"/>
      <c r="N51" s="3"/>
      <c r="O51" s="3"/>
    </row>
    <row r="52" spans="1:15" x14ac:dyDescent="0.25">
      <c r="A52" s="5" t="s">
        <v>272</v>
      </c>
      <c r="B52" s="1" t="s">
        <v>20</v>
      </c>
      <c r="C52" s="1" t="s">
        <v>28</v>
      </c>
      <c r="D52" s="1"/>
      <c r="E52" s="1" t="s">
        <v>16</v>
      </c>
      <c r="F52" s="1">
        <v>1.05</v>
      </c>
      <c r="G52" s="1">
        <v>25</v>
      </c>
      <c r="H52" s="1">
        <v>7</v>
      </c>
      <c r="I52" s="1">
        <v>150</v>
      </c>
      <c r="J52" t="s">
        <v>17</v>
      </c>
      <c r="K52" s="14">
        <v>161</v>
      </c>
      <c r="L52" s="16" t="s">
        <v>51</v>
      </c>
      <c r="M52" s="3"/>
      <c r="N52" s="3"/>
      <c r="O52" s="3"/>
    </row>
    <row r="53" spans="1:15" x14ac:dyDescent="0.25">
      <c r="A53" s="5" t="s">
        <v>272</v>
      </c>
      <c r="B53" s="1" t="s">
        <v>20</v>
      </c>
      <c r="C53" s="1" t="s">
        <v>28</v>
      </c>
      <c r="D53" s="1"/>
      <c r="E53" s="1" t="s">
        <v>16</v>
      </c>
      <c r="F53" s="1">
        <v>1.05</v>
      </c>
      <c r="G53" s="1">
        <v>25</v>
      </c>
      <c r="H53" s="1">
        <v>7</v>
      </c>
      <c r="I53" s="1">
        <v>150</v>
      </c>
      <c r="J53" t="s">
        <v>17</v>
      </c>
      <c r="K53" s="15">
        <v>175</v>
      </c>
      <c r="L53" s="16" t="s">
        <v>52</v>
      </c>
      <c r="M53" s="3"/>
      <c r="N53" s="3"/>
      <c r="O53" s="3"/>
    </row>
    <row r="54" spans="1:15" x14ac:dyDescent="0.25">
      <c r="A54" s="5" t="s">
        <v>272</v>
      </c>
      <c r="B54" s="1" t="s">
        <v>20</v>
      </c>
      <c r="C54" s="1" t="s">
        <v>28</v>
      </c>
      <c r="D54" s="1"/>
      <c r="E54" s="1" t="s">
        <v>48</v>
      </c>
      <c r="F54" s="1">
        <v>1.05</v>
      </c>
      <c r="G54" s="1">
        <v>25</v>
      </c>
      <c r="H54" s="1">
        <v>7</v>
      </c>
      <c r="I54" s="1">
        <v>150</v>
      </c>
      <c r="J54" t="s">
        <v>17</v>
      </c>
      <c r="K54" s="14">
        <v>259</v>
      </c>
      <c r="L54" s="16" t="s">
        <v>50</v>
      </c>
      <c r="M54" s="3"/>
      <c r="N54" s="3"/>
      <c r="O54" s="3"/>
    </row>
    <row r="55" spans="1:15" x14ac:dyDescent="0.25">
      <c r="A55" s="5" t="s">
        <v>272</v>
      </c>
      <c r="B55" s="1" t="s">
        <v>20</v>
      </c>
      <c r="C55" s="1" t="s">
        <v>28</v>
      </c>
      <c r="D55" s="1"/>
      <c r="E55" s="1" t="s">
        <v>48</v>
      </c>
      <c r="F55" s="1">
        <v>1.05</v>
      </c>
      <c r="G55" s="1">
        <v>25</v>
      </c>
      <c r="H55" s="1">
        <v>7</v>
      </c>
      <c r="I55" s="1">
        <v>150</v>
      </c>
      <c r="J55" t="s">
        <v>17</v>
      </c>
      <c r="K55" s="14">
        <v>211</v>
      </c>
      <c r="L55" s="16" t="s">
        <v>51</v>
      </c>
      <c r="M55" s="3"/>
      <c r="N55" s="3"/>
      <c r="O55" s="3"/>
    </row>
    <row r="56" spans="1:15" x14ac:dyDescent="0.25">
      <c r="A56" s="5" t="s">
        <v>272</v>
      </c>
      <c r="B56" s="1" t="s">
        <v>20</v>
      </c>
      <c r="C56" s="1" t="s">
        <v>28</v>
      </c>
      <c r="D56" s="1"/>
      <c r="E56" s="1" t="s">
        <v>48</v>
      </c>
      <c r="F56" s="1">
        <v>1.05</v>
      </c>
      <c r="G56" s="1">
        <v>25</v>
      </c>
      <c r="H56" s="1">
        <v>7</v>
      </c>
      <c r="I56" s="1">
        <v>150</v>
      </c>
      <c r="J56" t="s">
        <v>17</v>
      </c>
      <c r="K56" s="14">
        <v>196</v>
      </c>
      <c r="L56" s="16" t="s">
        <v>52</v>
      </c>
      <c r="M56" s="3"/>
      <c r="N56" s="3"/>
      <c r="O56" s="3"/>
    </row>
    <row r="57" spans="1:15" x14ac:dyDescent="0.25">
      <c r="A57" s="5" t="s">
        <v>272</v>
      </c>
      <c r="B57" s="1" t="s">
        <v>20</v>
      </c>
      <c r="C57" s="1" t="s">
        <v>28</v>
      </c>
      <c r="D57" s="1"/>
      <c r="E57" s="1" t="s">
        <v>49</v>
      </c>
      <c r="F57" s="1">
        <v>1.05</v>
      </c>
      <c r="G57" s="1">
        <v>25</v>
      </c>
      <c r="H57" s="1">
        <v>7</v>
      </c>
      <c r="I57" s="1">
        <v>150</v>
      </c>
      <c r="J57" t="s">
        <v>17</v>
      </c>
      <c r="K57" s="14">
        <v>312</v>
      </c>
      <c r="L57" s="16" t="s">
        <v>50</v>
      </c>
      <c r="M57" s="3"/>
      <c r="N57" s="3"/>
      <c r="O57" s="3"/>
    </row>
    <row r="58" spans="1:15" x14ac:dyDescent="0.25">
      <c r="A58" s="5" t="s">
        <v>272</v>
      </c>
      <c r="B58" s="1" t="s">
        <v>20</v>
      </c>
      <c r="C58" s="1" t="s">
        <v>28</v>
      </c>
      <c r="D58" s="1"/>
      <c r="E58" s="1" t="s">
        <v>49</v>
      </c>
      <c r="F58" s="1">
        <v>1.05</v>
      </c>
      <c r="G58" s="1">
        <v>25</v>
      </c>
      <c r="H58" s="1">
        <v>7</v>
      </c>
      <c r="I58" s="1">
        <v>150</v>
      </c>
      <c r="J58" t="s">
        <v>17</v>
      </c>
      <c r="K58" s="14">
        <v>236</v>
      </c>
      <c r="L58" s="16" t="s">
        <v>51</v>
      </c>
      <c r="M58" s="3"/>
      <c r="N58" s="3"/>
      <c r="O58" s="3"/>
    </row>
    <row r="59" spans="1:15" ht="15.75" thickBot="1" x14ac:dyDescent="0.3">
      <c r="A59" s="5" t="s">
        <v>272</v>
      </c>
      <c r="B59" s="1" t="s">
        <v>20</v>
      </c>
      <c r="C59" s="1" t="s">
        <v>28</v>
      </c>
      <c r="D59" s="1"/>
      <c r="E59" s="1" t="s">
        <v>49</v>
      </c>
      <c r="F59" s="1">
        <v>1.05</v>
      </c>
      <c r="G59" s="1">
        <v>25</v>
      </c>
      <c r="H59" s="1">
        <v>7</v>
      </c>
      <c r="I59" s="1">
        <v>150</v>
      </c>
      <c r="J59" t="s">
        <v>17</v>
      </c>
      <c r="K59" s="18">
        <v>183</v>
      </c>
      <c r="L59" s="16" t="s">
        <v>52</v>
      </c>
      <c r="M59" s="3"/>
      <c r="N59" s="3"/>
      <c r="O59" s="3"/>
    </row>
    <row r="60" spans="1:15" x14ac:dyDescent="0.25">
      <c r="A60" s="8" t="s">
        <v>271</v>
      </c>
      <c r="B60" s="8" t="s">
        <v>20</v>
      </c>
      <c r="C60" s="8" t="s">
        <v>53</v>
      </c>
      <c r="D60" s="7">
        <v>4.4999999999999998E-2</v>
      </c>
      <c r="E60" s="1" t="s">
        <v>44</v>
      </c>
      <c r="F60" s="19">
        <v>7</v>
      </c>
      <c r="G60" s="8">
        <v>15</v>
      </c>
      <c r="H60" s="8">
        <v>5</v>
      </c>
      <c r="I60" s="8">
        <v>185</v>
      </c>
      <c r="J60" t="s">
        <v>17</v>
      </c>
      <c r="K60" s="7">
        <v>463.7</v>
      </c>
      <c r="L60" t="s">
        <v>54</v>
      </c>
      <c r="M60" s="9"/>
      <c r="N60" s="9"/>
      <c r="O60" s="9"/>
    </row>
    <row r="61" spans="1:15" x14ac:dyDescent="0.25">
      <c r="A61" s="8" t="s">
        <v>271</v>
      </c>
      <c r="B61" s="1" t="s">
        <v>20</v>
      </c>
      <c r="C61" s="1" t="s">
        <v>53</v>
      </c>
      <c r="D61" s="7">
        <v>4.4999999999999998E-2</v>
      </c>
      <c r="E61" s="1" t="s">
        <v>44</v>
      </c>
      <c r="F61" s="1">
        <v>7</v>
      </c>
      <c r="G61" s="1">
        <v>27</v>
      </c>
      <c r="H61" s="1">
        <v>5</v>
      </c>
      <c r="I61" s="1">
        <v>185</v>
      </c>
      <c r="J61" t="s">
        <v>17</v>
      </c>
      <c r="K61" s="7">
        <v>1031.5</v>
      </c>
      <c r="L61" t="s">
        <v>54</v>
      </c>
      <c r="M61" s="3"/>
      <c r="N61" s="3"/>
      <c r="O61" s="3"/>
    </row>
    <row r="62" spans="1:15" x14ac:dyDescent="0.25">
      <c r="A62" s="20" t="s">
        <v>55</v>
      </c>
      <c r="B62" s="20" t="s">
        <v>20</v>
      </c>
      <c r="C62" s="20" t="s">
        <v>29</v>
      </c>
      <c r="D62" s="20"/>
      <c r="E62" s="20" t="s">
        <v>26</v>
      </c>
      <c r="F62" s="20">
        <v>6</v>
      </c>
      <c r="G62" s="20">
        <v>15</v>
      </c>
      <c r="H62" s="20">
        <v>7</v>
      </c>
      <c r="I62" s="20">
        <v>150</v>
      </c>
      <c r="J62" t="s">
        <v>17</v>
      </c>
      <c r="K62" s="21">
        <v>335.48</v>
      </c>
      <c r="L62" s="20" t="s">
        <v>27</v>
      </c>
      <c r="M62" s="16"/>
      <c r="N62" s="16" t="s">
        <v>56</v>
      </c>
      <c r="O62" s="16"/>
    </row>
    <row r="63" spans="1:15" x14ac:dyDescent="0.25">
      <c r="A63" s="20" t="s">
        <v>55</v>
      </c>
      <c r="B63" s="22" t="s">
        <v>20</v>
      </c>
      <c r="C63" s="22" t="s">
        <v>29</v>
      </c>
      <c r="D63" s="22"/>
      <c r="E63" s="22" t="s">
        <v>49</v>
      </c>
      <c r="F63" s="22">
        <v>6</v>
      </c>
      <c r="G63" s="22">
        <v>25</v>
      </c>
      <c r="H63" s="22">
        <v>7</v>
      </c>
      <c r="I63" s="22">
        <v>150</v>
      </c>
      <c r="J63" t="s">
        <v>17</v>
      </c>
      <c r="K63" s="21">
        <v>211.03</v>
      </c>
      <c r="L63" s="20" t="s">
        <v>27</v>
      </c>
    </row>
    <row r="64" spans="1:15" x14ac:dyDescent="0.25">
      <c r="A64" s="20" t="s">
        <v>55</v>
      </c>
      <c r="B64" s="22" t="s">
        <v>20</v>
      </c>
      <c r="C64" s="22" t="s">
        <v>29</v>
      </c>
      <c r="D64" s="22"/>
      <c r="E64" s="22" t="s">
        <v>49</v>
      </c>
      <c r="F64" s="22">
        <v>6</v>
      </c>
      <c r="G64" s="22">
        <v>35</v>
      </c>
      <c r="H64" s="22">
        <v>7</v>
      </c>
      <c r="I64" s="22">
        <v>150</v>
      </c>
      <c r="J64" t="s">
        <v>17</v>
      </c>
      <c r="K64" s="21">
        <v>318.42</v>
      </c>
      <c r="L64" s="20" t="s">
        <v>27</v>
      </c>
    </row>
    <row r="65" spans="1:15" x14ac:dyDescent="0.25">
      <c r="A65" s="23" t="s">
        <v>260</v>
      </c>
      <c r="B65" s="23" t="s">
        <v>57</v>
      </c>
      <c r="C65" s="23" t="s">
        <v>19</v>
      </c>
      <c r="D65" s="1">
        <v>0.2354</v>
      </c>
      <c r="E65" s="23" t="s">
        <v>26</v>
      </c>
      <c r="F65" s="23">
        <v>2.5</v>
      </c>
      <c r="G65" s="23">
        <v>25</v>
      </c>
      <c r="H65" s="23">
        <v>7</v>
      </c>
      <c r="I65" s="23"/>
      <c r="J65" t="s">
        <v>17</v>
      </c>
      <c r="K65" s="23">
        <v>237.5</v>
      </c>
      <c r="L65" s="23"/>
      <c r="M65" s="10"/>
      <c r="N65" s="10"/>
      <c r="O65" s="10"/>
    </row>
    <row r="66" spans="1:15" x14ac:dyDescent="0.25">
      <c r="A66" s="23" t="s">
        <v>260</v>
      </c>
      <c r="B66" s="23" t="s">
        <v>57</v>
      </c>
      <c r="C66" s="22" t="s">
        <v>19</v>
      </c>
      <c r="D66" s="22">
        <v>0.7762</v>
      </c>
      <c r="E66" s="22" t="s">
        <v>26</v>
      </c>
      <c r="F66" s="22">
        <v>2.5</v>
      </c>
      <c r="G66" s="22">
        <v>25</v>
      </c>
      <c r="H66" s="22">
        <v>7</v>
      </c>
      <c r="I66" s="22"/>
      <c r="J66" t="s">
        <v>34</v>
      </c>
      <c r="K66" s="22">
        <v>762.2</v>
      </c>
      <c r="L66" s="22" t="s">
        <v>58</v>
      </c>
      <c r="M66" s="10" t="s">
        <v>59</v>
      </c>
      <c r="N66" s="10" t="s">
        <v>60</v>
      </c>
    </row>
    <row r="67" spans="1:15" x14ac:dyDescent="0.25">
      <c r="A67" s="10" t="s">
        <v>61</v>
      </c>
      <c r="B67" s="10" t="s">
        <v>14</v>
      </c>
      <c r="C67" s="10" t="s">
        <v>28</v>
      </c>
      <c r="D67" s="10"/>
      <c r="E67" s="10" t="s">
        <v>26</v>
      </c>
      <c r="F67" s="10">
        <v>1.0049999999999999</v>
      </c>
      <c r="G67" s="10">
        <v>25</v>
      </c>
      <c r="H67" s="10">
        <v>7</v>
      </c>
      <c r="I67" s="10">
        <v>160</v>
      </c>
      <c r="J67" s="10" t="s">
        <v>17</v>
      </c>
      <c r="K67" s="10">
        <v>777.18</v>
      </c>
      <c r="L67" s="10"/>
      <c r="M67" s="10"/>
      <c r="N67" s="10"/>
      <c r="O67" s="10"/>
    </row>
    <row r="68" spans="1:15" x14ac:dyDescent="0.25">
      <c r="A68" s="10" t="s">
        <v>61</v>
      </c>
      <c r="B68" t="s">
        <v>20</v>
      </c>
      <c r="C68" t="s">
        <v>28</v>
      </c>
      <c r="E68" t="s">
        <v>26</v>
      </c>
      <c r="F68">
        <v>1.0049999999999999</v>
      </c>
      <c r="G68">
        <v>25</v>
      </c>
      <c r="H68">
        <v>7</v>
      </c>
      <c r="I68">
        <v>160</v>
      </c>
      <c r="J68" s="10" t="s">
        <v>17</v>
      </c>
      <c r="K68">
        <v>1566.94</v>
      </c>
      <c r="L68" s="3" t="s">
        <v>62</v>
      </c>
      <c r="M68" s="3"/>
      <c r="N68" s="3"/>
      <c r="O68" s="3"/>
    </row>
    <row r="69" spans="1:15" x14ac:dyDescent="0.25">
      <c r="A69" s="10" t="s">
        <v>61</v>
      </c>
      <c r="B69" t="s">
        <v>14</v>
      </c>
      <c r="C69" t="s">
        <v>30</v>
      </c>
      <c r="E69" t="s">
        <v>26</v>
      </c>
      <c r="F69">
        <v>1.0049999999999999</v>
      </c>
      <c r="G69">
        <v>25</v>
      </c>
      <c r="H69">
        <v>7</v>
      </c>
      <c r="I69">
        <v>160</v>
      </c>
      <c r="J69" s="10" t="s">
        <v>17</v>
      </c>
      <c r="K69">
        <v>715.99</v>
      </c>
      <c r="L69" s="3"/>
      <c r="M69" s="3"/>
      <c r="N69" s="3"/>
      <c r="O69" s="3"/>
    </row>
    <row r="70" spans="1:15" x14ac:dyDescent="0.25">
      <c r="A70" s="10" t="s">
        <v>61</v>
      </c>
      <c r="B70" t="s">
        <v>20</v>
      </c>
      <c r="C70" t="s">
        <v>30</v>
      </c>
      <c r="E70" t="s">
        <v>26</v>
      </c>
      <c r="F70">
        <v>1.0049999999999999</v>
      </c>
      <c r="G70">
        <v>25</v>
      </c>
      <c r="H70">
        <v>7</v>
      </c>
      <c r="I70">
        <v>160</v>
      </c>
      <c r="J70" s="10" t="s">
        <v>17</v>
      </c>
      <c r="K70">
        <v>1282.3499999999999</v>
      </c>
      <c r="L70" s="3" t="s">
        <v>62</v>
      </c>
      <c r="M70" s="3"/>
      <c r="N70" s="3"/>
      <c r="O70" s="3"/>
    </row>
    <row r="71" spans="1:15" x14ac:dyDescent="0.25">
      <c r="A71" s="10" t="s">
        <v>61</v>
      </c>
      <c r="B71" t="s">
        <v>14</v>
      </c>
      <c r="C71" t="s">
        <v>28</v>
      </c>
      <c r="E71" t="s">
        <v>16</v>
      </c>
      <c r="F71">
        <v>1.0049999999999999</v>
      </c>
      <c r="G71">
        <v>25</v>
      </c>
      <c r="H71">
        <v>7</v>
      </c>
      <c r="I71">
        <v>160</v>
      </c>
      <c r="J71" s="10" t="s">
        <v>17</v>
      </c>
      <c r="K71">
        <v>1369.33</v>
      </c>
      <c r="L71" s="3"/>
      <c r="M71" s="3"/>
      <c r="N71" s="3"/>
      <c r="O71" s="3"/>
    </row>
    <row r="72" spans="1:15" x14ac:dyDescent="0.25">
      <c r="A72" s="10" t="s">
        <v>61</v>
      </c>
      <c r="B72" t="s">
        <v>20</v>
      </c>
      <c r="C72" t="s">
        <v>28</v>
      </c>
      <c r="E72" t="s">
        <v>16</v>
      </c>
      <c r="F72">
        <v>1.0049999999999999</v>
      </c>
      <c r="G72">
        <v>25</v>
      </c>
      <c r="H72">
        <v>7</v>
      </c>
      <c r="I72">
        <v>160</v>
      </c>
      <c r="J72" s="10" t="s">
        <v>17</v>
      </c>
      <c r="K72">
        <v>3903.1</v>
      </c>
      <c r="L72" s="3" t="s">
        <v>62</v>
      </c>
      <c r="M72" s="3"/>
      <c r="N72" s="3"/>
      <c r="O72" s="3"/>
    </row>
    <row r="73" spans="1:15" x14ac:dyDescent="0.25">
      <c r="A73" s="10" t="s">
        <v>61</v>
      </c>
      <c r="B73" t="s">
        <v>14</v>
      </c>
      <c r="C73" t="s">
        <v>30</v>
      </c>
      <c r="E73" t="s">
        <v>16</v>
      </c>
      <c r="F73">
        <v>1.0049999999999999</v>
      </c>
      <c r="G73">
        <v>25</v>
      </c>
      <c r="H73">
        <v>7</v>
      </c>
      <c r="I73">
        <v>160</v>
      </c>
      <c r="J73" s="10" t="s">
        <v>17</v>
      </c>
      <c r="K73">
        <v>1371.13</v>
      </c>
      <c r="L73" s="3"/>
      <c r="M73" s="3"/>
      <c r="N73" s="3"/>
      <c r="O73" s="3"/>
    </row>
    <row r="74" spans="1:15" ht="15.75" thickBot="1" x14ac:dyDescent="0.3">
      <c r="A74" s="10" t="s">
        <v>61</v>
      </c>
      <c r="B74" t="s">
        <v>20</v>
      </c>
      <c r="C74" t="s">
        <v>30</v>
      </c>
      <c r="E74" t="s">
        <v>16</v>
      </c>
      <c r="F74">
        <v>1.0049999999999999</v>
      </c>
      <c r="G74">
        <v>25</v>
      </c>
      <c r="H74">
        <v>7</v>
      </c>
      <c r="I74">
        <v>160</v>
      </c>
      <c r="J74" s="10" t="s">
        <v>17</v>
      </c>
      <c r="K74">
        <v>2366.5300000000002</v>
      </c>
      <c r="L74" s="3" t="s">
        <v>62</v>
      </c>
      <c r="M74" s="3"/>
      <c r="N74" s="3"/>
      <c r="O74" s="3"/>
    </row>
    <row r="75" spans="1:15" ht="15.75" thickBot="1" x14ac:dyDescent="0.3">
      <c r="A75" s="25" t="s">
        <v>63</v>
      </c>
      <c r="B75" s="16" t="s">
        <v>14</v>
      </c>
      <c r="C75" s="16" t="s">
        <v>15</v>
      </c>
      <c r="D75" s="16">
        <v>10.058999999999999</v>
      </c>
      <c r="E75" s="16" t="s">
        <v>16</v>
      </c>
      <c r="F75" s="16">
        <v>20.5</v>
      </c>
      <c r="G75" s="16">
        <v>25</v>
      </c>
      <c r="H75" s="16">
        <v>7</v>
      </c>
      <c r="I75" s="16">
        <v>30</v>
      </c>
      <c r="J75" s="10" t="s">
        <v>17</v>
      </c>
      <c r="K75" s="16">
        <v>339.6</v>
      </c>
      <c r="L75" s="16"/>
      <c r="M75" s="16"/>
      <c r="N75" s="16"/>
      <c r="O75" s="16"/>
    </row>
    <row r="76" spans="1:15" ht="15.75" thickBot="1" x14ac:dyDescent="0.3">
      <c r="A76" s="25" t="s">
        <v>63</v>
      </c>
      <c r="B76" t="s">
        <v>20</v>
      </c>
      <c r="C76" s="3" t="s">
        <v>15</v>
      </c>
      <c r="D76">
        <v>30.597000000000001</v>
      </c>
      <c r="E76" s="3" t="s">
        <v>16</v>
      </c>
      <c r="F76" s="3">
        <v>20.5</v>
      </c>
      <c r="G76" s="3">
        <v>25</v>
      </c>
      <c r="H76">
        <v>7</v>
      </c>
      <c r="I76" s="3">
        <v>30</v>
      </c>
      <c r="J76" s="10" t="s">
        <v>17</v>
      </c>
      <c r="K76" s="26">
        <v>2130</v>
      </c>
      <c r="L76" s="10" t="s">
        <v>64</v>
      </c>
      <c r="M76" s="3"/>
      <c r="N76" s="3"/>
      <c r="O76" s="3"/>
    </row>
    <row r="77" spans="1:15" ht="15.75" thickBot="1" x14ac:dyDescent="0.3">
      <c r="A77" s="25" t="s">
        <v>63</v>
      </c>
      <c r="B77" t="s">
        <v>20</v>
      </c>
      <c r="C77" s="3" t="s">
        <v>19</v>
      </c>
      <c r="D77">
        <v>53.972000000000001</v>
      </c>
      <c r="E77" s="3" t="s">
        <v>16</v>
      </c>
      <c r="F77" s="3">
        <v>20.5</v>
      </c>
      <c r="G77" s="3">
        <v>25</v>
      </c>
      <c r="H77">
        <v>7</v>
      </c>
      <c r="I77" s="3">
        <v>30</v>
      </c>
      <c r="J77" s="10" t="s">
        <v>17</v>
      </c>
      <c r="K77" s="26">
        <v>126.5</v>
      </c>
      <c r="L77" s="24" t="s">
        <v>65</v>
      </c>
      <c r="M77" s="3"/>
      <c r="N77" s="3"/>
      <c r="O77" s="3"/>
    </row>
    <row r="78" spans="1:15" ht="15.75" thickBot="1" x14ac:dyDescent="0.3">
      <c r="A78" s="25" t="s">
        <v>63</v>
      </c>
      <c r="B78" t="s">
        <v>20</v>
      </c>
      <c r="C78" s="3" t="s">
        <v>19</v>
      </c>
      <c r="D78">
        <v>36.953000000000003</v>
      </c>
      <c r="E78" s="3" t="s">
        <v>16</v>
      </c>
      <c r="F78" s="3">
        <v>20.5</v>
      </c>
      <c r="G78" s="3">
        <v>25</v>
      </c>
      <c r="H78">
        <v>7</v>
      </c>
      <c r="I78" s="3">
        <v>30</v>
      </c>
      <c r="J78" s="10" t="s">
        <v>17</v>
      </c>
      <c r="K78" s="26" t="s">
        <v>67</v>
      </c>
      <c r="L78" s="16" t="s">
        <v>66</v>
      </c>
      <c r="M78" s="3"/>
      <c r="N78" s="3"/>
      <c r="O78" s="3"/>
    </row>
    <row r="79" spans="1:15" ht="15.75" thickBot="1" x14ac:dyDescent="0.3">
      <c r="A79" s="25" t="s">
        <v>63</v>
      </c>
      <c r="B79" t="s">
        <v>20</v>
      </c>
      <c r="C79" s="3" t="s">
        <v>28</v>
      </c>
      <c r="D79">
        <v>99.567999999999998</v>
      </c>
      <c r="E79" s="3" t="s">
        <v>16</v>
      </c>
      <c r="F79" s="3">
        <v>20.5</v>
      </c>
      <c r="G79" s="3">
        <v>25</v>
      </c>
      <c r="H79">
        <v>7</v>
      </c>
      <c r="I79" s="3">
        <v>30</v>
      </c>
      <c r="J79" s="10" t="s">
        <v>17</v>
      </c>
      <c r="K79" s="26">
        <v>57.48</v>
      </c>
      <c r="L79" s="16" t="s">
        <v>66</v>
      </c>
      <c r="M79" s="3"/>
      <c r="N79" s="3"/>
      <c r="O79" s="3"/>
    </row>
    <row r="80" spans="1:15" x14ac:dyDescent="0.25">
      <c r="A80" s="10" t="s">
        <v>68</v>
      </c>
      <c r="B80" s="10" t="s">
        <v>14</v>
      </c>
      <c r="C80" s="10" t="s">
        <v>30</v>
      </c>
      <c r="D80" s="10">
        <v>1.73</v>
      </c>
      <c r="E80" s="10" t="s">
        <v>44</v>
      </c>
      <c r="F80" s="27"/>
      <c r="G80" s="10">
        <v>15</v>
      </c>
      <c r="H80" s="10">
        <v>6</v>
      </c>
      <c r="I80" s="10">
        <v>150</v>
      </c>
      <c r="J80" s="10" t="s">
        <v>17</v>
      </c>
      <c r="K80" s="10">
        <v>650.70000000000005</v>
      </c>
      <c r="L80" s="10"/>
      <c r="M80" s="10"/>
      <c r="N80" s="10"/>
      <c r="O80" s="10"/>
    </row>
    <row r="81" spans="1:15" x14ac:dyDescent="0.25">
      <c r="A81" s="10" t="s">
        <v>68</v>
      </c>
      <c r="B81" t="s">
        <v>14</v>
      </c>
      <c r="C81" s="3" t="s">
        <v>30</v>
      </c>
      <c r="D81">
        <v>1.73</v>
      </c>
      <c r="E81" s="3" t="s">
        <v>44</v>
      </c>
      <c r="G81" s="3">
        <v>15</v>
      </c>
      <c r="H81">
        <v>6</v>
      </c>
      <c r="I81" s="3">
        <v>150</v>
      </c>
      <c r="J81" s="10" t="s">
        <v>17</v>
      </c>
      <c r="K81" s="3">
        <v>794.8</v>
      </c>
      <c r="L81" s="3"/>
      <c r="M81" s="3"/>
      <c r="N81" s="3"/>
      <c r="O81" s="3"/>
    </row>
    <row r="82" spans="1:15" ht="15.75" thickBot="1" x14ac:dyDescent="0.3">
      <c r="A82" s="10" t="s">
        <v>68</v>
      </c>
      <c r="B82" t="s">
        <v>14</v>
      </c>
      <c r="C82" s="3" t="s">
        <v>30</v>
      </c>
      <c r="D82">
        <v>1.73</v>
      </c>
      <c r="E82" s="3" t="s">
        <v>44</v>
      </c>
      <c r="G82" s="3">
        <v>15</v>
      </c>
      <c r="H82">
        <v>6</v>
      </c>
      <c r="I82" s="3">
        <v>150</v>
      </c>
      <c r="J82" s="10" t="s">
        <v>17</v>
      </c>
      <c r="K82" s="3">
        <v>943.2</v>
      </c>
      <c r="L82" s="3"/>
      <c r="M82" s="3"/>
      <c r="N82" s="3"/>
      <c r="O82" s="3"/>
    </row>
    <row r="83" spans="1:15" ht="15.75" thickBot="1" x14ac:dyDescent="0.3">
      <c r="A83" s="28" t="s">
        <v>69</v>
      </c>
      <c r="B83" t="s">
        <v>14</v>
      </c>
      <c r="C83" t="s">
        <v>28</v>
      </c>
      <c r="E83" s="3" t="s">
        <v>44</v>
      </c>
      <c r="F83">
        <v>0.505</v>
      </c>
      <c r="G83">
        <v>25</v>
      </c>
      <c r="H83">
        <v>6</v>
      </c>
      <c r="J83" s="10" t="s">
        <v>17</v>
      </c>
      <c r="K83" s="3">
        <v>613.1</v>
      </c>
      <c r="L83" s="3"/>
      <c r="M83" s="3"/>
      <c r="N83" s="3"/>
      <c r="O83" s="3"/>
    </row>
    <row r="84" spans="1:15" ht="15.75" thickBot="1" x14ac:dyDescent="0.3">
      <c r="A84" s="28" t="s">
        <v>69</v>
      </c>
      <c r="B84" t="s">
        <v>20</v>
      </c>
      <c r="C84" t="s">
        <v>28</v>
      </c>
      <c r="E84" s="3" t="s">
        <v>44</v>
      </c>
      <c r="F84">
        <v>0.505</v>
      </c>
      <c r="G84">
        <v>25</v>
      </c>
      <c r="H84">
        <v>6</v>
      </c>
      <c r="J84" s="10" t="s">
        <v>17</v>
      </c>
      <c r="K84" s="3">
        <v>1239.72</v>
      </c>
      <c r="L84" s="24" t="s">
        <v>71</v>
      </c>
      <c r="M84" s="3"/>
      <c r="N84" t="s">
        <v>70</v>
      </c>
      <c r="O84" s="3"/>
    </row>
    <row r="85" spans="1:15" ht="15.75" thickBot="1" x14ac:dyDescent="0.3">
      <c r="A85" s="28" t="s">
        <v>69</v>
      </c>
      <c r="B85" t="s">
        <v>20</v>
      </c>
      <c r="C85" t="s">
        <v>28</v>
      </c>
      <c r="E85" s="3" t="s">
        <v>44</v>
      </c>
      <c r="F85">
        <v>0.505</v>
      </c>
      <c r="G85">
        <v>25</v>
      </c>
      <c r="H85">
        <v>6</v>
      </c>
      <c r="J85" s="10" t="s">
        <v>17</v>
      </c>
      <c r="K85" s="3">
        <v>1101.4100000000001</v>
      </c>
      <c r="L85" s="24" t="s">
        <v>71</v>
      </c>
      <c r="M85" s="3"/>
      <c r="N85" t="s">
        <v>72</v>
      </c>
      <c r="O85" s="3"/>
    </row>
    <row r="86" spans="1:15" x14ac:dyDescent="0.25">
      <c r="A86" s="24" t="s">
        <v>74</v>
      </c>
      <c r="B86" s="24" t="s">
        <v>14</v>
      </c>
      <c r="C86" s="24" t="s">
        <v>19</v>
      </c>
      <c r="D86" s="24">
        <v>0.23</v>
      </c>
      <c r="E86" s="24" t="s">
        <v>26</v>
      </c>
      <c r="F86" s="24">
        <v>3.5</v>
      </c>
      <c r="G86" s="24">
        <v>25</v>
      </c>
      <c r="H86" s="24"/>
      <c r="I86" s="24"/>
      <c r="J86" s="24" t="s">
        <v>17</v>
      </c>
      <c r="K86" s="24">
        <v>31.2</v>
      </c>
      <c r="L86" s="24"/>
      <c r="M86" s="24"/>
      <c r="N86" s="24"/>
      <c r="O86" s="24"/>
    </row>
    <row r="87" spans="1:15" x14ac:dyDescent="0.25">
      <c r="A87" s="24" t="s">
        <v>74</v>
      </c>
      <c r="B87" s="10" t="s">
        <v>20</v>
      </c>
      <c r="C87" s="10" t="s">
        <v>19</v>
      </c>
      <c r="D87" s="10">
        <v>0.35</v>
      </c>
      <c r="E87" s="10" t="s">
        <v>26</v>
      </c>
      <c r="F87" s="10">
        <v>3.5</v>
      </c>
      <c r="G87" s="10">
        <v>25</v>
      </c>
      <c r="H87" s="10"/>
      <c r="I87" s="10"/>
      <c r="J87" s="10" t="s">
        <v>17</v>
      </c>
      <c r="K87" s="10">
        <v>183</v>
      </c>
      <c r="L87" s="10" t="s">
        <v>75</v>
      </c>
      <c r="M87" s="10"/>
      <c r="N87" s="10" t="s">
        <v>76</v>
      </c>
      <c r="O87" s="10"/>
    </row>
    <row r="88" spans="1:15" x14ac:dyDescent="0.25">
      <c r="A88" s="24" t="s">
        <v>74</v>
      </c>
      <c r="B88" s="10" t="s">
        <v>20</v>
      </c>
      <c r="C88" t="s">
        <v>19</v>
      </c>
      <c r="D88">
        <v>0.76</v>
      </c>
      <c r="E88" t="s">
        <v>26</v>
      </c>
      <c r="F88">
        <v>3.5</v>
      </c>
      <c r="G88">
        <v>25</v>
      </c>
      <c r="J88" s="24" t="s">
        <v>17</v>
      </c>
      <c r="K88" s="3">
        <v>108</v>
      </c>
      <c r="L88" s="10" t="s">
        <v>77</v>
      </c>
      <c r="M88" s="10"/>
      <c r="N88" t="s">
        <v>78</v>
      </c>
    </row>
    <row r="89" spans="1:15" x14ac:dyDescent="0.25">
      <c r="A89" s="24" t="s">
        <v>74</v>
      </c>
      <c r="B89" s="10" t="s">
        <v>20</v>
      </c>
      <c r="C89" t="s">
        <v>19</v>
      </c>
      <c r="D89">
        <v>1.1599999999999999</v>
      </c>
      <c r="E89" t="s">
        <v>26</v>
      </c>
      <c r="F89">
        <v>3.5</v>
      </c>
      <c r="G89">
        <v>25</v>
      </c>
      <c r="J89" s="24" t="s">
        <v>17</v>
      </c>
      <c r="K89" s="3">
        <v>318</v>
      </c>
      <c r="L89" s="10" t="s">
        <v>79</v>
      </c>
      <c r="M89" s="10"/>
      <c r="N89" t="s">
        <v>80</v>
      </c>
    </row>
    <row r="90" spans="1:15" x14ac:dyDescent="0.25">
      <c r="A90" s="24" t="s">
        <v>74</v>
      </c>
      <c r="B90" t="s">
        <v>14</v>
      </c>
      <c r="C90" t="s">
        <v>19</v>
      </c>
      <c r="D90">
        <v>0.23</v>
      </c>
      <c r="E90" t="s">
        <v>26</v>
      </c>
      <c r="F90">
        <v>3.5</v>
      </c>
      <c r="G90">
        <v>25</v>
      </c>
      <c r="J90" t="s">
        <v>34</v>
      </c>
      <c r="K90" s="3">
        <v>42.6</v>
      </c>
      <c r="M90" t="s">
        <v>59</v>
      </c>
      <c r="O90" s="10"/>
    </row>
    <row r="91" spans="1:15" x14ac:dyDescent="0.25">
      <c r="A91" s="24" t="s">
        <v>74</v>
      </c>
      <c r="B91" s="10" t="s">
        <v>20</v>
      </c>
      <c r="C91" t="s">
        <v>19</v>
      </c>
      <c r="D91">
        <v>0.35</v>
      </c>
      <c r="E91" t="s">
        <v>26</v>
      </c>
      <c r="F91">
        <v>3.5</v>
      </c>
      <c r="G91">
        <v>25</v>
      </c>
      <c r="J91" t="s">
        <v>34</v>
      </c>
      <c r="K91" s="3">
        <v>412</v>
      </c>
      <c r="L91" s="10" t="s">
        <v>75</v>
      </c>
      <c r="M91" t="s">
        <v>59</v>
      </c>
    </row>
    <row r="92" spans="1:15" x14ac:dyDescent="0.25">
      <c r="A92" s="24" t="s">
        <v>74</v>
      </c>
      <c r="B92" s="10" t="s">
        <v>20</v>
      </c>
      <c r="C92" t="s">
        <v>19</v>
      </c>
      <c r="D92">
        <v>0.76</v>
      </c>
      <c r="E92" t="s">
        <v>26</v>
      </c>
      <c r="F92">
        <v>3.5</v>
      </c>
      <c r="G92">
        <v>25</v>
      </c>
      <c r="J92" t="s">
        <v>34</v>
      </c>
      <c r="K92" s="3">
        <v>120</v>
      </c>
      <c r="L92" s="10" t="s">
        <v>77</v>
      </c>
      <c r="M92" t="s">
        <v>59</v>
      </c>
    </row>
    <row r="93" spans="1:15" x14ac:dyDescent="0.25">
      <c r="A93" s="24" t="s">
        <v>74</v>
      </c>
      <c r="B93" s="10" t="s">
        <v>20</v>
      </c>
      <c r="C93" t="s">
        <v>19</v>
      </c>
      <c r="D93">
        <v>1.1599999999999999</v>
      </c>
      <c r="E93" t="s">
        <v>26</v>
      </c>
      <c r="F93">
        <v>3.5</v>
      </c>
      <c r="G93">
        <v>25</v>
      </c>
      <c r="J93" t="s">
        <v>34</v>
      </c>
      <c r="K93" s="3">
        <v>210</v>
      </c>
      <c r="L93" s="10" t="s">
        <v>79</v>
      </c>
      <c r="M93" t="s">
        <v>59</v>
      </c>
    </row>
    <row r="94" spans="1:15" x14ac:dyDescent="0.25">
      <c r="A94" s="29" t="s">
        <v>81</v>
      </c>
      <c r="B94" s="24" t="s">
        <v>82</v>
      </c>
      <c r="C94" s="24" t="s">
        <v>83</v>
      </c>
      <c r="D94" s="24">
        <v>0.54300000000000004</v>
      </c>
      <c r="E94" s="24" t="s">
        <v>26</v>
      </c>
      <c r="F94" s="24">
        <v>26.25</v>
      </c>
      <c r="G94" s="24"/>
      <c r="H94" s="24"/>
      <c r="I94" s="24">
        <v>100</v>
      </c>
      <c r="J94" s="24" t="s">
        <v>17</v>
      </c>
      <c r="K94" s="24">
        <v>454</v>
      </c>
      <c r="L94" s="24"/>
      <c r="M94" s="24"/>
      <c r="N94" s="24"/>
      <c r="O94" s="24"/>
    </row>
    <row r="95" spans="1:15" x14ac:dyDescent="0.25">
      <c r="A95" s="29" t="s">
        <v>81</v>
      </c>
      <c r="B95" t="s">
        <v>20</v>
      </c>
      <c r="C95" t="s">
        <v>83</v>
      </c>
      <c r="D95">
        <v>0.75729999999999997</v>
      </c>
      <c r="E95" t="s">
        <v>26</v>
      </c>
      <c r="F95">
        <v>26.25</v>
      </c>
      <c r="I95">
        <v>100</v>
      </c>
      <c r="J95" s="24" t="s">
        <v>17</v>
      </c>
      <c r="K95">
        <v>521</v>
      </c>
      <c r="L95" s="10" t="s">
        <v>27</v>
      </c>
      <c r="M95" s="24"/>
      <c r="O95" s="24"/>
    </row>
    <row r="96" spans="1:15" x14ac:dyDescent="0.25">
      <c r="A96" s="29" t="s">
        <v>81</v>
      </c>
      <c r="B96" t="s">
        <v>82</v>
      </c>
      <c r="C96" t="s">
        <v>83</v>
      </c>
      <c r="D96">
        <v>0.54300000000000004</v>
      </c>
      <c r="E96" t="s">
        <v>26</v>
      </c>
      <c r="F96">
        <v>26.25</v>
      </c>
      <c r="I96">
        <v>100</v>
      </c>
      <c r="J96" t="s">
        <v>34</v>
      </c>
      <c r="K96">
        <v>613</v>
      </c>
      <c r="L96" s="24"/>
      <c r="M96" t="s">
        <v>84</v>
      </c>
      <c r="O96" s="24"/>
    </row>
    <row r="97" spans="1:15" x14ac:dyDescent="0.25">
      <c r="A97" s="29" t="s">
        <v>81</v>
      </c>
      <c r="B97" t="s">
        <v>20</v>
      </c>
      <c r="C97" t="s">
        <v>83</v>
      </c>
      <c r="D97">
        <v>0.75729999999999997</v>
      </c>
      <c r="E97" t="s">
        <v>26</v>
      </c>
      <c r="F97">
        <v>26.25</v>
      </c>
      <c r="I97">
        <v>100</v>
      </c>
      <c r="J97" t="s">
        <v>34</v>
      </c>
      <c r="K97">
        <v>576</v>
      </c>
      <c r="L97" s="24" t="s">
        <v>27</v>
      </c>
      <c r="M97" t="s">
        <v>84</v>
      </c>
      <c r="O97" s="24"/>
    </row>
    <row r="98" spans="1:15" x14ac:dyDescent="0.25">
      <c r="A98" s="29" t="s">
        <v>85</v>
      </c>
      <c r="B98" s="10" t="s">
        <v>14</v>
      </c>
      <c r="C98" s="16" t="s">
        <v>28</v>
      </c>
      <c r="D98" s="16"/>
      <c r="E98" s="16" t="s">
        <v>16</v>
      </c>
      <c r="F98" s="16">
        <v>11</v>
      </c>
      <c r="G98" s="16">
        <v>15</v>
      </c>
      <c r="H98" s="16"/>
      <c r="I98" s="16">
        <v>185</v>
      </c>
      <c r="J98" t="s">
        <v>34</v>
      </c>
      <c r="K98" s="16">
        <v>655.69999999999993</v>
      </c>
      <c r="L98" s="16"/>
      <c r="M98" s="16" t="s">
        <v>86</v>
      </c>
      <c r="N98" s="16"/>
      <c r="O98" s="16"/>
    </row>
    <row r="99" spans="1:15" x14ac:dyDescent="0.25">
      <c r="A99" s="29" t="s">
        <v>85</v>
      </c>
      <c r="B99" s="10" t="s">
        <v>14</v>
      </c>
      <c r="C99" s="16" t="s">
        <v>28</v>
      </c>
      <c r="D99" s="24"/>
      <c r="E99" s="16" t="s">
        <v>16</v>
      </c>
      <c r="F99" s="16">
        <v>11</v>
      </c>
      <c r="G99" s="24">
        <v>27</v>
      </c>
      <c r="H99" s="24"/>
      <c r="I99" s="16">
        <v>185</v>
      </c>
      <c r="J99" t="s">
        <v>34</v>
      </c>
      <c r="K99" s="16">
        <v>784.59999999999991</v>
      </c>
      <c r="L99" s="24"/>
      <c r="M99" s="16" t="s">
        <v>86</v>
      </c>
      <c r="N99" s="24"/>
      <c r="O99" s="16"/>
    </row>
    <row r="100" spans="1:15" x14ac:dyDescent="0.25">
      <c r="A100" s="29" t="s">
        <v>85</v>
      </c>
      <c r="B100" s="10" t="s">
        <v>14</v>
      </c>
      <c r="C100" s="16" t="s">
        <v>28</v>
      </c>
      <c r="D100" s="24"/>
      <c r="E100" s="16" t="s">
        <v>16</v>
      </c>
      <c r="F100" s="16">
        <v>11</v>
      </c>
      <c r="G100" s="24">
        <v>45</v>
      </c>
      <c r="H100" s="24"/>
      <c r="I100" s="16">
        <v>185</v>
      </c>
      <c r="J100" t="s">
        <v>34</v>
      </c>
      <c r="K100" s="16">
        <v>926.4</v>
      </c>
      <c r="L100" s="24"/>
      <c r="M100" s="16" t="s">
        <v>86</v>
      </c>
      <c r="N100" s="24"/>
      <c r="O100" s="16"/>
    </row>
    <row r="101" spans="1:15" x14ac:dyDescent="0.25">
      <c r="A101" s="29" t="s">
        <v>87</v>
      </c>
      <c r="B101" t="s">
        <v>20</v>
      </c>
      <c r="C101" t="s">
        <v>28</v>
      </c>
      <c r="E101" t="s">
        <v>88</v>
      </c>
      <c r="F101">
        <v>11</v>
      </c>
      <c r="G101" s="24">
        <v>25</v>
      </c>
      <c r="I101">
        <v>150</v>
      </c>
      <c r="J101" t="s">
        <v>34</v>
      </c>
      <c r="K101" s="16">
        <v>463.8</v>
      </c>
      <c r="L101" s="24" t="s">
        <v>89</v>
      </c>
      <c r="M101" t="s">
        <v>90</v>
      </c>
      <c r="N101" s="3"/>
      <c r="O101" s="3"/>
    </row>
    <row r="102" spans="1:15" x14ac:dyDescent="0.25">
      <c r="A102" s="29" t="s">
        <v>87</v>
      </c>
      <c r="B102" t="s">
        <v>20</v>
      </c>
      <c r="C102" t="s">
        <v>28</v>
      </c>
      <c r="E102" t="s">
        <v>88</v>
      </c>
      <c r="F102">
        <v>11</v>
      </c>
      <c r="G102" s="3">
        <v>35</v>
      </c>
      <c r="H102" s="3"/>
      <c r="I102">
        <v>150</v>
      </c>
      <c r="J102" t="s">
        <v>34</v>
      </c>
      <c r="K102" s="3">
        <v>817.2</v>
      </c>
      <c r="L102" s="24" t="s">
        <v>89</v>
      </c>
      <c r="M102" t="s">
        <v>90</v>
      </c>
      <c r="N102" s="3"/>
      <c r="O102" s="3"/>
    </row>
    <row r="103" spans="1:15" ht="15.75" thickBot="1" x14ac:dyDescent="0.3">
      <c r="A103" s="29" t="s">
        <v>87</v>
      </c>
      <c r="B103" t="s">
        <v>20</v>
      </c>
      <c r="C103" t="s">
        <v>28</v>
      </c>
      <c r="E103" t="s">
        <v>88</v>
      </c>
      <c r="F103">
        <v>11</v>
      </c>
      <c r="G103" s="3">
        <v>45</v>
      </c>
      <c r="H103" s="3"/>
      <c r="I103">
        <v>150</v>
      </c>
      <c r="J103" t="s">
        <v>34</v>
      </c>
      <c r="K103" s="3">
        <v>970.7</v>
      </c>
      <c r="L103" s="24" t="s">
        <v>89</v>
      </c>
      <c r="M103" t="s">
        <v>90</v>
      </c>
      <c r="N103" s="3"/>
      <c r="O103" s="3"/>
    </row>
    <row r="104" spans="1:15" ht="15.75" thickBot="1" x14ac:dyDescent="0.3">
      <c r="A104" s="30" t="s">
        <v>91</v>
      </c>
      <c r="B104" s="10" t="s">
        <v>57</v>
      </c>
      <c r="C104" s="10" t="s">
        <v>19</v>
      </c>
      <c r="D104" s="10">
        <v>0.21</v>
      </c>
      <c r="E104" t="s">
        <v>44</v>
      </c>
      <c r="F104" s="10">
        <v>102.5</v>
      </c>
      <c r="G104" s="10">
        <v>25</v>
      </c>
      <c r="H104" s="10"/>
      <c r="I104" s="10"/>
      <c r="J104" s="10" t="s">
        <v>17</v>
      </c>
      <c r="K104" s="3">
        <v>239.9</v>
      </c>
      <c r="L104" s="10"/>
      <c r="M104" s="31"/>
      <c r="N104" s="3"/>
      <c r="O104" s="3"/>
    </row>
    <row r="105" spans="1:15" ht="15.75" thickBot="1" x14ac:dyDescent="0.3">
      <c r="A105" s="30" t="s">
        <v>91</v>
      </c>
      <c r="B105" s="10" t="s">
        <v>57</v>
      </c>
      <c r="C105" s="10" t="s">
        <v>19</v>
      </c>
      <c r="D105" s="10">
        <v>0.21</v>
      </c>
      <c r="E105" t="s">
        <v>44</v>
      </c>
      <c r="F105" s="10">
        <v>102.5</v>
      </c>
      <c r="G105" s="10">
        <v>25</v>
      </c>
      <c r="H105" s="10"/>
      <c r="I105" s="10"/>
      <c r="J105" s="10" t="s">
        <v>34</v>
      </c>
      <c r="K105" s="3">
        <v>481.7</v>
      </c>
      <c r="L105" s="3"/>
      <c r="M105" s="10" t="s">
        <v>92</v>
      </c>
      <c r="N105" s="3" t="s">
        <v>93</v>
      </c>
      <c r="O105" s="3"/>
    </row>
    <row r="106" spans="1:15" ht="15.75" thickBot="1" x14ac:dyDescent="0.3">
      <c r="A106" s="30" t="s">
        <v>91</v>
      </c>
      <c r="B106" s="10" t="s">
        <v>57</v>
      </c>
      <c r="C106" s="10" t="s">
        <v>19</v>
      </c>
      <c r="D106" s="10">
        <v>0.21</v>
      </c>
      <c r="E106" t="s">
        <v>44</v>
      </c>
      <c r="F106" s="10">
        <v>102.5</v>
      </c>
      <c r="G106" s="10">
        <v>25</v>
      </c>
      <c r="H106" s="10"/>
      <c r="I106" s="10"/>
      <c r="J106" s="10" t="s">
        <v>34</v>
      </c>
      <c r="K106" s="3">
        <v>1031.2</v>
      </c>
      <c r="L106" s="3"/>
      <c r="M106" s="10" t="s">
        <v>73</v>
      </c>
      <c r="N106" s="3" t="s">
        <v>94</v>
      </c>
      <c r="O106" s="3"/>
    </row>
    <row r="107" spans="1:15" ht="15.75" thickBot="1" x14ac:dyDescent="0.3">
      <c r="A107" s="30" t="s">
        <v>91</v>
      </c>
      <c r="B107" s="10" t="s">
        <v>57</v>
      </c>
      <c r="C107" s="10" t="s">
        <v>18</v>
      </c>
      <c r="D107" s="10">
        <v>0.87</v>
      </c>
      <c r="E107" t="s">
        <v>44</v>
      </c>
      <c r="F107" s="10">
        <v>102.5</v>
      </c>
      <c r="G107" s="10">
        <v>25</v>
      </c>
      <c r="H107" s="10"/>
      <c r="I107" s="10"/>
      <c r="J107" s="10" t="s">
        <v>17</v>
      </c>
      <c r="K107" s="3">
        <v>1890.4</v>
      </c>
      <c r="L107" s="3"/>
      <c r="M107" s="10"/>
      <c r="N107" s="3"/>
      <c r="O107" s="3"/>
    </row>
    <row r="108" spans="1:15" ht="15.75" thickBot="1" x14ac:dyDescent="0.3">
      <c r="A108" s="30" t="s">
        <v>91</v>
      </c>
      <c r="B108" s="10" t="s">
        <v>57</v>
      </c>
      <c r="C108" s="10" t="s">
        <v>18</v>
      </c>
      <c r="D108" s="10">
        <v>0.87</v>
      </c>
      <c r="E108" t="s">
        <v>44</v>
      </c>
      <c r="F108" s="10">
        <v>102.5</v>
      </c>
      <c r="G108" s="10">
        <v>25</v>
      </c>
      <c r="H108" s="10"/>
      <c r="I108" s="10"/>
      <c r="J108" s="10" t="s">
        <v>34</v>
      </c>
      <c r="K108" s="3">
        <v>1375.1</v>
      </c>
      <c r="L108" s="3"/>
      <c r="M108" s="10" t="s">
        <v>95</v>
      </c>
      <c r="N108" s="3" t="s">
        <v>96</v>
      </c>
      <c r="O108" s="3"/>
    </row>
    <row r="109" spans="1:15" ht="15.75" thickBot="1" x14ac:dyDescent="0.3">
      <c r="A109" s="30" t="s">
        <v>91</v>
      </c>
      <c r="B109" s="10" t="s">
        <v>57</v>
      </c>
      <c r="C109" s="10" t="s">
        <v>18</v>
      </c>
      <c r="D109" s="10">
        <v>0.87</v>
      </c>
      <c r="E109" t="s">
        <v>44</v>
      </c>
      <c r="F109" s="10">
        <v>102.5</v>
      </c>
      <c r="G109" s="10">
        <v>25</v>
      </c>
      <c r="H109" s="10"/>
      <c r="I109" s="10"/>
      <c r="J109" s="10" t="s">
        <v>34</v>
      </c>
      <c r="K109" s="3">
        <v>2513.1999999999998</v>
      </c>
      <c r="L109" s="3"/>
      <c r="M109" s="10" t="s">
        <v>73</v>
      </c>
      <c r="N109" s="3" t="s">
        <v>97</v>
      </c>
      <c r="O109" s="3"/>
    </row>
    <row r="110" spans="1:15" ht="15.75" thickBot="1" x14ac:dyDescent="0.3">
      <c r="A110" s="32" t="s">
        <v>262</v>
      </c>
      <c r="B110" s="24" t="s">
        <v>57</v>
      </c>
      <c r="C110" s="24" t="s">
        <v>28</v>
      </c>
      <c r="D110" s="24"/>
      <c r="E110" s="33" t="s">
        <v>98</v>
      </c>
      <c r="F110" s="24">
        <v>27.5</v>
      </c>
      <c r="G110" s="24">
        <v>25</v>
      </c>
      <c r="H110" s="24"/>
      <c r="I110" s="24">
        <v>200</v>
      </c>
      <c r="J110" s="24" t="s">
        <v>17</v>
      </c>
      <c r="K110" s="24">
        <v>3474</v>
      </c>
      <c r="L110" s="24"/>
      <c r="M110" s="24"/>
      <c r="N110" s="24" t="s">
        <v>99</v>
      </c>
      <c r="O110" s="24"/>
    </row>
    <row r="111" spans="1:15" ht="15.75" thickBot="1" x14ac:dyDescent="0.3">
      <c r="A111" s="32" t="s">
        <v>262</v>
      </c>
      <c r="B111" t="s">
        <v>57</v>
      </c>
      <c r="C111" t="s">
        <v>28</v>
      </c>
      <c r="E111" t="s">
        <v>98</v>
      </c>
      <c r="F111">
        <v>27.5</v>
      </c>
      <c r="G111">
        <v>25</v>
      </c>
      <c r="I111">
        <v>200</v>
      </c>
      <c r="J111" t="s">
        <v>34</v>
      </c>
      <c r="K111">
        <v>917</v>
      </c>
      <c r="M111" t="s">
        <v>39</v>
      </c>
      <c r="N111" t="s">
        <v>100</v>
      </c>
    </row>
    <row r="112" spans="1:15" ht="15.75" thickBot="1" x14ac:dyDescent="0.3">
      <c r="A112" s="32" t="s">
        <v>262</v>
      </c>
      <c r="B112" t="s">
        <v>57</v>
      </c>
      <c r="C112" t="s">
        <v>28</v>
      </c>
      <c r="E112" t="s">
        <v>98</v>
      </c>
      <c r="F112">
        <v>27.5</v>
      </c>
      <c r="G112">
        <v>25</v>
      </c>
      <c r="I112">
        <v>200</v>
      </c>
      <c r="J112" t="s">
        <v>34</v>
      </c>
      <c r="K112">
        <v>704</v>
      </c>
      <c r="M112" t="s">
        <v>39</v>
      </c>
      <c r="N112" t="s">
        <v>101</v>
      </c>
    </row>
    <row r="113" spans="1:15" ht="15.75" thickBot="1" x14ac:dyDescent="0.3">
      <c r="A113" s="32" t="s">
        <v>262</v>
      </c>
      <c r="B113" t="s">
        <v>57</v>
      </c>
      <c r="C113" t="s">
        <v>28</v>
      </c>
      <c r="E113" t="s">
        <v>98</v>
      </c>
      <c r="F113">
        <v>27.5</v>
      </c>
      <c r="G113">
        <v>25</v>
      </c>
      <c r="I113">
        <v>200</v>
      </c>
      <c r="J113" t="s">
        <v>34</v>
      </c>
      <c r="K113">
        <v>4527</v>
      </c>
      <c r="M113" t="s">
        <v>102</v>
      </c>
      <c r="N113" t="s">
        <v>103</v>
      </c>
    </row>
    <row r="114" spans="1:15" ht="15.75" thickBot="1" x14ac:dyDescent="0.3">
      <c r="A114" s="32" t="s">
        <v>262</v>
      </c>
      <c r="B114" t="s">
        <v>57</v>
      </c>
      <c r="C114" t="s">
        <v>28</v>
      </c>
      <c r="E114" t="s">
        <v>98</v>
      </c>
      <c r="F114">
        <v>27.5</v>
      </c>
      <c r="G114">
        <v>25</v>
      </c>
      <c r="I114">
        <v>200</v>
      </c>
      <c r="J114" t="s">
        <v>34</v>
      </c>
      <c r="K114">
        <v>4901</v>
      </c>
      <c r="M114" t="s">
        <v>102</v>
      </c>
      <c r="N114" t="s">
        <v>104</v>
      </c>
    </row>
    <row r="115" spans="1:15" ht="15.75" thickBot="1" x14ac:dyDescent="0.3">
      <c r="A115" s="32" t="s">
        <v>262</v>
      </c>
      <c r="B115" t="s">
        <v>57</v>
      </c>
      <c r="C115" t="s">
        <v>28</v>
      </c>
      <c r="E115" t="s">
        <v>98</v>
      </c>
      <c r="F115">
        <v>27.5</v>
      </c>
      <c r="G115">
        <v>25</v>
      </c>
      <c r="I115">
        <v>200</v>
      </c>
      <c r="J115" t="s">
        <v>34</v>
      </c>
      <c r="K115">
        <v>2598</v>
      </c>
      <c r="M115" t="s">
        <v>35</v>
      </c>
      <c r="N115" t="s">
        <v>105</v>
      </c>
    </row>
    <row r="116" spans="1:15" ht="15.75" thickBot="1" x14ac:dyDescent="0.3">
      <c r="A116" s="32" t="s">
        <v>262</v>
      </c>
      <c r="B116" t="s">
        <v>57</v>
      </c>
      <c r="C116" t="s">
        <v>28</v>
      </c>
      <c r="E116" t="s">
        <v>98</v>
      </c>
      <c r="F116">
        <v>27.5</v>
      </c>
      <c r="G116">
        <v>25</v>
      </c>
      <c r="I116">
        <v>200</v>
      </c>
      <c r="J116" t="s">
        <v>34</v>
      </c>
      <c r="K116">
        <v>1786</v>
      </c>
      <c r="M116" t="s">
        <v>35</v>
      </c>
      <c r="N116" t="s">
        <v>106</v>
      </c>
    </row>
    <row r="117" spans="1:15" ht="63.75" x14ac:dyDescent="0.25">
      <c r="A117" s="29" t="s">
        <v>261</v>
      </c>
      <c r="B117" s="10" t="s">
        <v>57</v>
      </c>
      <c r="C117" s="10" t="s">
        <v>28</v>
      </c>
      <c r="D117" s="10">
        <v>0.46</v>
      </c>
      <c r="E117" s="10" t="s">
        <v>44</v>
      </c>
      <c r="F117" s="10">
        <v>25.5</v>
      </c>
      <c r="G117" s="10">
        <v>25</v>
      </c>
      <c r="H117" s="10">
        <v>7</v>
      </c>
      <c r="I117" s="10">
        <v>200</v>
      </c>
      <c r="J117" s="10" t="s">
        <v>17</v>
      </c>
      <c r="K117" s="10">
        <v>511</v>
      </c>
      <c r="M117" s="3"/>
      <c r="N117" s="34" t="s">
        <v>107</v>
      </c>
      <c r="O117" s="3"/>
    </row>
    <row r="118" spans="1:15" x14ac:dyDescent="0.25">
      <c r="A118" s="29" t="s">
        <v>261</v>
      </c>
      <c r="B118" s="10" t="s">
        <v>57</v>
      </c>
      <c r="C118" s="10" t="s">
        <v>18</v>
      </c>
      <c r="D118" s="10">
        <v>1.71</v>
      </c>
      <c r="E118" s="10" t="s">
        <v>44</v>
      </c>
      <c r="F118" s="10">
        <v>25.5</v>
      </c>
      <c r="G118" s="10">
        <v>25</v>
      </c>
      <c r="H118" s="10">
        <v>7</v>
      </c>
      <c r="I118" s="10">
        <v>200</v>
      </c>
      <c r="J118" s="10" t="s">
        <v>17</v>
      </c>
      <c r="K118" s="10">
        <v>775</v>
      </c>
      <c r="N118" s="3"/>
      <c r="O118" s="3"/>
    </row>
    <row r="119" spans="1:15" x14ac:dyDescent="0.25">
      <c r="A119" s="29" t="s">
        <v>261</v>
      </c>
      <c r="B119" s="10" t="s">
        <v>57</v>
      </c>
      <c r="C119" s="10" t="s">
        <v>28</v>
      </c>
      <c r="D119" s="10">
        <v>0.46</v>
      </c>
      <c r="E119" s="10" t="s">
        <v>16</v>
      </c>
      <c r="F119" s="10">
        <v>25.5</v>
      </c>
      <c r="G119" s="10">
        <v>25</v>
      </c>
      <c r="H119" s="10">
        <v>7</v>
      </c>
      <c r="I119" s="10">
        <v>200</v>
      </c>
      <c r="J119" s="10" t="s">
        <v>17</v>
      </c>
      <c r="K119" s="10">
        <v>314</v>
      </c>
      <c r="N119" s="3"/>
      <c r="O119" s="3"/>
    </row>
    <row r="120" spans="1:15" x14ac:dyDescent="0.25">
      <c r="A120" s="29" t="s">
        <v>261</v>
      </c>
      <c r="B120" s="10" t="s">
        <v>57</v>
      </c>
      <c r="C120" s="10" t="s">
        <v>18</v>
      </c>
      <c r="D120" s="10">
        <v>1.71</v>
      </c>
      <c r="E120" s="10" t="s">
        <v>16</v>
      </c>
      <c r="F120" s="10">
        <v>25.5</v>
      </c>
      <c r="G120" s="10">
        <v>25</v>
      </c>
      <c r="H120" s="10">
        <v>7</v>
      </c>
      <c r="I120" s="10">
        <v>200</v>
      </c>
      <c r="J120" s="10" t="s">
        <v>17</v>
      </c>
      <c r="K120" s="10">
        <v>323</v>
      </c>
      <c r="N120" s="3"/>
      <c r="O120" s="3"/>
    </row>
    <row r="121" spans="1:15" ht="60" x14ac:dyDescent="0.25">
      <c r="A121" s="24" t="s">
        <v>263</v>
      </c>
      <c r="B121" s="24" t="s">
        <v>57</v>
      </c>
      <c r="C121" s="24" t="s">
        <v>108</v>
      </c>
      <c r="D121" s="24">
        <v>1.06</v>
      </c>
      <c r="E121" s="24" t="s">
        <v>44</v>
      </c>
      <c r="F121" s="24">
        <v>4</v>
      </c>
      <c r="G121" s="24">
        <v>25</v>
      </c>
      <c r="H121" s="24">
        <v>5</v>
      </c>
      <c r="I121" s="24">
        <v>180</v>
      </c>
      <c r="J121" s="24" t="s">
        <v>17</v>
      </c>
      <c r="K121" s="24">
        <v>64.13</v>
      </c>
      <c r="L121" s="24"/>
      <c r="M121" s="24"/>
      <c r="N121" s="35" t="s">
        <v>109</v>
      </c>
      <c r="O121" s="24"/>
    </row>
    <row r="122" spans="1:15" x14ac:dyDescent="0.25">
      <c r="A122" s="24" t="s">
        <v>263</v>
      </c>
      <c r="B122" t="s">
        <v>20</v>
      </c>
      <c r="C122" t="s">
        <v>108</v>
      </c>
      <c r="D122">
        <v>1.1499999999999999</v>
      </c>
      <c r="E122" t="s">
        <v>44</v>
      </c>
      <c r="F122">
        <v>4</v>
      </c>
      <c r="G122">
        <v>25</v>
      </c>
      <c r="H122">
        <v>5</v>
      </c>
      <c r="I122">
        <v>180</v>
      </c>
      <c r="J122" t="s">
        <v>17</v>
      </c>
      <c r="K122">
        <v>647.09</v>
      </c>
      <c r="L122" t="s">
        <v>110</v>
      </c>
      <c r="N122" t="s">
        <v>111</v>
      </c>
    </row>
    <row r="123" spans="1:15" x14ac:dyDescent="0.25">
      <c r="A123" s="24" t="s">
        <v>263</v>
      </c>
      <c r="B123" t="s">
        <v>20</v>
      </c>
      <c r="C123" t="s">
        <v>108</v>
      </c>
      <c r="D123">
        <v>0.69</v>
      </c>
      <c r="E123" t="s">
        <v>44</v>
      </c>
      <c r="F123">
        <v>4</v>
      </c>
      <c r="G123">
        <v>25</v>
      </c>
      <c r="H123">
        <v>5</v>
      </c>
      <c r="I123">
        <v>180</v>
      </c>
      <c r="J123" t="s">
        <v>17</v>
      </c>
      <c r="K123">
        <v>323.62</v>
      </c>
      <c r="L123" t="s">
        <v>110</v>
      </c>
      <c r="N123" t="s">
        <v>112</v>
      </c>
    </row>
    <row r="124" spans="1:15" x14ac:dyDescent="0.25">
      <c r="A124" s="16" t="s">
        <v>264</v>
      </c>
      <c r="B124" s="16" t="s">
        <v>57</v>
      </c>
      <c r="C124" s="16" t="s">
        <v>28</v>
      </c>
      <c r="D124" s="16">
        <v>0.157</v>
      </c>
      <c r="E124" s="16" t="s">
        <v>113</v>
      </c>
      <c r="F124" s="16">
        <v>10.5</v>
      </c>
      <c r="G124" s="16">
        <v>5</v>
      </c>
      <c r="H124" s="16"/>
      <c r="I124" s="16">
        <v>180</v>
      </c>
      <c r="J124" s="16" t="s">
        <v>17</v>
      </c>
      <c r="K124" s="16">
        <v>95.77</v>
      </c>
      <c r="L124" s="16"/>
      <c r="M124" s="16"/>
      <c r="N124" s="36" t="s">
        <v>114</v>
      </c>
      <c r="O124" s="16"/>
    </row>
    <row r="125" spans="1:15" x14ac:dyDescent="0.25">
      <c r="A125" s="16" t="s">
        <v>264</v>
      </c>
      <c r="B125" s="10" t="s">
        <v>57</v>
      </c>
      <c r="C125" s="10" t="s">
        <v>15</v>
      </c>
      <c r="D125" s="10" t="s">
        <v>115</v>
      </c>
      <c r="E125" s="10" t="s">
        <v>113</v>
      </c>
      <c r="F125" s="10">
        <v>10.5</v>
      </c>
      <c r="G125" s="10">
        <v>5</v>
      </c>
      <c r="H125" s="10"/>
      <c r="I125">
        <v>180</v>
      </c>
      <c r="J125" s="10" t="s">
        <v>17</v>
      </c>
      <c r="K125" s="26">
        <v>588.41999999999996</v>
      </c>
      <c r="L125" s="10"/>
      <c r="M125" s="10"/>
      <c r="N125" s="10"/>
      <c r="O125" s="10"/>
    </row>
    <row r="126" spans="1:15" x14ac:dyDescent="0.25">
      <c r="A126" s="16" t="s">
        <v>264</v>
      </c>
      <c r="B126" s="16" t="s">
        <v>57</v>
      </c>
      <c r="C126" s="16" t="s">
        <v>19</v>
      </c>
      <c r="D126" s="16">
        <v>0.51070000000000004</v>
      </c>
      <c r="E126" s="16" t="s">
        <v>113</v>
      </c>
      <c r="F126" s="16">
        <v>10.5</v>
      </c>
      <c r="G126" s="16">
        <v>15</v>
      </c>
      <c r="H126" s="16"/>
      <c r="I126">
        <v>180</v>
      </c>
      <c r="J126" s="10" t="s">
        <v>17</v>
      </c>
      <c r="K126" s="26">
        <v>69.03</v>
      </c>
      <c r="L126" s="10"/>
      <c r="M126" s="10"/>
      <c r="N126" s="10"/>
      <c r="O126" s="10"/>
    </row>
    <row r="127" spans="1:15" x14ac:dyDescent="0.25">
      <c r="A127" s="16" t="s">
        <v>264</v>
      </c>
      <c r="B127" s="10" t="s">
        <v>57</v>
      </c>
      <c r="C127" s="10" t="s">
        <v>28</v>
      </c>
      <c r="D127" s="10">
        <v>0.157</v>
      </c>
      <c r="E127" s="10" t="s">
        <v>113</v>
      </c>
      <c r="F127" s="10">
        <v>10.5</v>
      </c>
      <c r="G127">
        <v>15</v>
      </c>
      <c r="H127" s="10"/>
      <c r="I127">
        <v>180</v>
      </c>
      <c r="J127" s="10" t="s">
        <v>17</v>
      </c>
      <c r="K127" s="26">
        <v>164.54</v>
      </c>
      <c r="L127" s="16"/>
      <c r="M127" s="16"/>
      <c r="N127" s="16"/>
      <c r="O127" s="16"/>
    </row>
    <row r="128" spans="1:15" x14ac:dyDescent="0.25">
      <c r="A128" s="16" t="s">
        <v>264</v>
      </c>
      <c r="B128" s="10" t="s">
        <v>57</v>
      </c>
      <c r="C128" s="10" t="s">
        <v>15</v>
      </c>
      <c r="D128" s="10" t="s">
        <v>115</v>
      </c>
      <c r="E128" s="10" t="s">
        <v>113</v>
      </c>
      <c r="F128" s="10">
        <v>10.5</v>
      </c>
      <c r="G128">
        <v>15</v>
      </c>
      <c r="H128" s="10"/>
      <c r="I128">
        <v>180</v>
      </c>
      <c r="J128" s="10" t="s">
        <v>17</v>
      </c>
      <c r="K128" s="26">
        <v>797.61</v>
      </c>
    </row>
    <row r="129" spans="1:15" ht="15.75" thickBot="1" x14ac:dyDescent="0.3">
      <c r="A129" s="16" t="s">
        <v>264</v>
      </c>
      <c r="B129" s="10" t="s">
        <v>57</v>
      </c>
      <c r="C129" s="10" t="s">
        <v>28</v>
      </c>
      <c r="D129" s="10">
        <v>0.157</v>
      </c>
      <c r="E129" s="10" t="s">
        <v>113</v>
      </c>
      <c r="F129" s="10">
        <v>10.5</v>
      </c>
      <c r="G129">
        <v>25</v>
      </c>
      <c r="H129" s="10"/>
      <c r="I129">
        <v>180</v>
      </c>
      <c r="J129" s="10" t="s">
        <v>17</v>
      </c>
      <c r="K129" s="26">
        <v>238.47</v>
      </c>
    </row>
    <row r="130" spans="1:15" ht="15.75" thickBot="1" x14ac:dyDescent="0.3">
      <c r="A130" s="16" t="s">
        <v>264</v>
      </c>
      <c r="B130" s="10" t="s">
        <v>57</v>
      </c>
      <c r="C130" s="10" t="s">
        <v>15</v>
      </c>
      <c r="D130" s="10" t="s">
        <v>115</v>
      </c>
      <c r="E130" s="10" t="s">
        <v>113</v>
      </c>
      <c r="F130" s="10">
        <v>10.5</v>
      </c>
      <c r="G130">
        <v>25</v>
      </c>
      <c r="H130" s="10"/>
      <c r="I130">
        <v>180</v>
      </c>
      <c r="J130" s="10" t="s">
        <v>17</v>
      </c>
      <c r="K130" s="37">
        <v>745.26</v>
      </c>
    </row>
    <row r="131" spans="1:15" x14ac:dyDescent="0.25">
      <c r="A131" s="16" t="s">
        <v>264</v>
      </c>
      <c r="B131" s="10" t="s">
        <v>57</v>
      </c>
      <c r="C131" s="10" t="s">
        <v>28</v>
      </c>
      <c r="D131" s="10">
        <v>0.157</v>
      </c>
      <c r="E131" s="10" t="s">
        <v>113</v>
      </c>
      <c r="F131" s="10">
        <v>10.5</v>
      </c>
      <c r="G131">
        <v>35</v>
      </c>
      <c r="H131" s="10"/>
      <c r="I131">
        <v>180</v>
      </c>
      <c r="J131" s="10" t="s">
        <v>17</v>
      </c>
      <c r="K131" s="26">
        <v>85.67</v>
      </c>
    </row>
    <row r="132" spans="1:15" x14ac:dyDescent="0.25">
      <c r="A132" s="16" t="s">
        <v>264</v>
      </c>
      <c r="B132" s="10" t="s">
        <v>57</v>
      </c>
      <c r="C132" s="10" t="s">
        <v>15</v>
      </c>
      <c r="D132" s="10" t="s">
        <v>115</v>
      </c>
      <c r="E132" s="10" t="s">
        <v>113</v>
      </c>
      <c r="F132" s="10">
        <v>10.5</v>
      </c>
      <c r="G132">
        <v>35</v>
      </c>
      <c r="H132" s="10"/>
      <c r="I132">
        <v>180</v>
      </c>
      <c r="J132" s="10" t="s">
        <v>17</v>
      </c>
      <c r="K132" s="26">
        <v>791.44</v>
      </c>
    </row>
    <row r="133" spans="1:15" x14ac:dyDescent="0.25">
      <c r="A133" s="16" t="s">
        <v>264</v>
      </c>
      <c r="B133" s="24" t="s">
        <v>20</v>
      </c>
      <c r="C133" s="24" t="s">
        <v>15</v>
      </c>
      <c r="D133" s="24">
        <v>4.1700000000000001E-2</v>
      </c>
      <c r="E133" s="24" t="s">
        <v>113</v>
      </c>
      <c r="F133" s="24">
        <v>10.5</v>
      </c>
      <c r="G133" s="24">
        <v>5</v>
      </c>
      <c r="H133" s="24"/>
      <c r="I133" s="24">
        <v>180</v>
      </c>
      <c r="J133" s="24" t="s">
        <v>17</v>
      </c>
      <c r="K133" s="24">
        <v>715.54</v>
      </c>
      <c r="L133" s="24" t="s">
        <v>27</v>
      </c>
      <c r="M133" s="24"/>
      <c r="N133" s="24"/>
      <c r="O133" s="24"/>
    </row>
    <row r="134" spans="1:15" x14ac:dyDescent="0.25">
      <c r="A134" s="16" t="s">
        <v>264</v>
      </c>
      <c r="B134" s="24" t="s">
        <v>20</v>
      </c>
      <c r="C134" s="10" t="s">
        <v>28</v>
      </c>
      <c r="D134" s="10">
        <v>2.5449999999999999</v>
      </c>
      <c r="E134" s="10" t="s">
        <v>113</v>
      </c>
      <c r="F134" s="10">
        <v>10.5</v>
      </c>
      <c r="G134">
        <v>15</v>
      </c>
      <c r="H134" s="10"/>
      <c r="I134">
        <v>180</v>
      </c>
      <c r="J134" s="10" t="s">
        <v>17</v>
      </c>
      <c r="K134" s="26">
        <v>261.17</v>
      </c>
      <c r="L134" s="24" t="s">
        <v>27</v>
      </c>
    </row>
    <row r="135" spans="1:15" x14ac:dyDescent="0.25">
      <c r="A135" s="16" t="s">
        <v>264</v>
      </c>
      <c r="B135" s="24" t="s">
        <v>20</v>
      </c>
      <c r="C135" s="10" t="s">
        <v>15</v>
      </c>
      <c r="D135" s="10">
        <v>4.1700000000000001E-2</v>
      </c>
      <c r="E135" s="10" t="s">
        <v>113</v>
      </c>
      <c r="F135" s="10">
        <v>10.5</v>
      </c>
      <c r="G135">
        <v>15</v>
      </c>
      <c r="H135" s="10"/>
      <c r="I135">
        <v>180</v>
      </c>
      <c r="J135" s="10" t="s">
        <v>17</v>
      </c>
      <c r="K135" s="26">
        <v>726.75</v>
      </c>
      <c r="L135" s="24" t="s">
        <v>27</v>
      </c>
    </row>
    <row r="136" spans="1:15" x14ac:dyDescent="0.25">
      <c r="A136" s="16" t="s">
        <v>264</v>
      </c>
      <c r="B136" s="24" t="s">
        <v>20</v>
      </c>
      <c r="C136" s="10" t="s">
        <v>28</v>
      </c>
      <c r="D136" s="10">
        <v>2.5449999999999999</v>
      </c>
      <c r="E136" s="10" t="s">
        <v>113</v>
      </c>
      <c r="F136" s="10">
        <v>10.5</v>
      </c>
      <c r="G136">
        <v>25</v>
      </c>
      <c r="H136" s="10"/>
      <c r="I136">
        <v>180</v>
      </c>
      <c r="J136" s="10" t="s">
        <v>17</v>
      </c>
      <c r="K136" s="26">
        <v>330.61</v>
      </c>
      <c r="L136" s="24" t="s">
        <v>27</v>
      </c>
    </row>
    <row r="137" spans="1:15" x14ac:dyDescent="0.25">
      <c r="A137" s="16" t="s">
        <v>264</v>
      </c>
      <c r="B137" s="24" t="s">
        <v>20</v>
      </c>
      <c r="C137" s="16" t="s">
        <v>19</v>
      </c>
      <c r="D137" s="10">
        <v>0.56069999999999998</v>
      </c>
      <c r="E137" s="16" t="s">
        <v>113</v>
      </c>
      <c r="F137" s="16">
        <v>10.5</v>
      </c>
      <c r="G137" s="16">
        <v>35</v>
      </c>
      <c r="H137" s="16"/>
      <c r="I137">
        <v>180</v>
      </c>
      <c r="J137" s="10" t="s">
        <v>17</v>
      </c>
      <c r="K137" s="26">
        <v>244.34</v>
      </c>
      <c r="L137" s="24" t="s">
        <v>27</v>
      </c>
    </row>
    <row r="138" spans="1:15" ht="15.75" thickBot="1" x14ac:dyDescent="0.3">
      <c r="A138" s="16" t="s">
        <v>264</v>
      </c>
      <c r="B138" s="24" t="s">
        <v>20</v>
      </c>
      <c r="C138" s="10" t="s">
        <v>15</v>
      </c>
      <c r="D138" s="10">
        <v>4.1700000000000001E-2</v>
      </c>
      <c r="E138" s="10" t="s">
        <v>113</v>
      </c>
      <c r="F138" s="10">
        <v>10.5</v>
      </c>
      <c r="G138">
        <v>35</v>
      </c>
      <c r="H138" s="10"/>
      <c r="I138">
        <v>180</v>
      </c>
      <c r="J138" s="10" t="s">
        <v>17</v>
      </c>
      <c r="K138" s="26">
        <v>796.66</v>
      </c>
      <c r="L138" s="24" t="s">
        <v>27</v>
      </c>
    </row>
    <row r="139" spans="1:15" ht="16.5" thickTop="1" x14ac:dyDescent="0.25">
      <c r="A139" s="24" t="s">
        <v>116</v>
      </c>
      <c r="B139" s="24" t="s">
        <v>57</v>
      </c>
      <c r="C139" s="24" t="s">
        <v>28</v>
      </c>
      <c r="D139" s="24"/>
      <c r="E139" s="24" t="s">
        <v>26</v>
      </c>
      <c r="F139" s="24">
        <v>11.597875</v>
      </c>
      <c r="G139" s="24">
        <v>15</v>
      </c>
      <c r="H139" s="24"/>
      <c r="I139" s="24">
        <v>170</v>
      </c>
      <c r="J139" s="10" t="s">
        <v>34</v>
      </c>
      <c r="K139" s="38">
        <v>33.274999999999999</v>
      </c>
      <c r="L139" s="24"/>
      <c r="M139" s="39" t="s">
        <v>117</v>
      </c>
      <c r="N139" s="24"/>
      <c r="O139" s="24"/>
    </row>
    <row r="140" spans="1:15" ht="15.75" x14ac:dyDescent="0.25">
      <c r="A140" s="24" t="s">
        <v>116</v>
      </c>
      <c r="B140" s="24" t="s">
        <v>57</v>
      </c>
      <c r="C140" t="s">
        <v>28</v>
      </c>
      <c r="E140" t="s">
        <v>26</v>
      </c>
      <c r="F140">
        <v>11.597875</v>
      </c>
      <c r="G140">
        <v>25</v>
      </c>
      <c r="I140">
        <v>170</v>
      </c>
      <c r="J140" s="10" t="s">
        <v>34</v>
      </c>
      <c r="K140">
        <v>40.110999999999997</v>
      </c>
      <c r="M140" s="39" t="s">
        <v>117</v>
      </c>
    </row>
    <row r="141" spans="1:15" ht="15.75" x14ac:dyDescent="0.25">
      <c r="A141" s="24" t="s">
        <v>116</v>
      </c>
      <c r="B141" s="24" t="s">
        <v>57</v>
      </c>
      <c r="C141" t="s">
        <v>28</v>
      </c>
      <c r="E141" t="s">
        <v>26</v>
      </c>
      <c r="F141">
        <v>11.597875</v>
      </c>
      <c r="G141">
        <v>35</v>
      </c>
      <c r="I141">
        <v>170</v>
      </c>
      <c r="J141" s="10" t="s">
        <v>34</v>
      </c>
      <c r="K141">
        <v>48.216999999999999</v>
      </c>
      <c r="M141" s="39" t="s">
        <v>117</v>
      </c>
    </row>
    <row r="142" spans="1:15" ht="15.75" x14ac:dyDescent="0.25">
      <c r="A142" s="24" t="s">
        <v>116</v>
      </c>
      <c r="B142" s="24" t="s">
        <v>57</v>
      </c>
      <c r="C142" t="s">
        <v>28</v>
      </c>
      <c r="E142" t="s">
        <v>49</v>
      </c>
      <c r="F142">
        <v>10.710925</v>
      </c>
      <c r="G142">
        <v>15</v>
      </c>
      <c r="I142">
        <v>170</v>
      </c>
      <c r="J142" s="10" t="s">
        <v>34</v>
      </c>
      <c r="K142">
        <v>15.577</v>
      </c>
      <c r="M142" s="39" t="s">
        <v>117</v>
      </c>
    </row>
    <row r="143" spans="1:15" ht="15.75" x14ac:dyDescent="0.25">
      <c r="A143" s="24" t="s">
        <v>116</v>
      </c>
      <c r="B143" s="24" t="s">
        <v>57</v>
      </c>
      <c r="C143" t="s">
        <v>28</v>
      </c>
      <c r="E143" t="s">
        <v>49</v>
      </c>
      <c r="F143">
        <v>10.710925</v>
      </c>
      <c r="G143">
        <v>25</v>
      </c>
      <c r="I143">
        <v>170</v>
      </c>
      <c r="J143" s="10" t="s">
        <v>34</v>
      </c>
      <c r="K143">
        <v>23.213000000000001</v>
      </c>
      <c r="M143" s="39" t="s">
        <v>117</v>
      </c>
    </row>
    <row r="144" spans="1:15" ht="15.75" x14ac:dyDescent="0.25">
      <c r="A144" s="24" t="s">
        <v>116</v>
      </c>
      <c r="B144" s="24" t="s">
        <v>57</v>
      </c>
      <c r="C144" t="s">
        <v>28</v>
      </c>
      <c r="E144" t="s">
        <v>49</v>
      </c>
      <c r="F144">
        <v>10.710925</v>
      </c>
      <c r="G144">
        <v>35</v>
      </c>
      <c r="I144">
        <v>170</v>
      </c>
      <c r="J144" s="10" t="s">
        <v>34</v>
      </c>
      <c r="K144">
        <v>27.568999999999999</v>
      </c>
      <c r="M144" s="39" t="s">
        <v>117</v>
      </c>
    </row>
    <row r="145" spans="1:15" ht="15.75" x14ac:dyDescent="0.25">
      <c r="A145" s="24" t="s">
        <v>116</v>
      </c>
      <c r="B145" s="24" t="s">
        <v>57</v>
      </c>
      <c r="C145" t="s">
        <v>28</v>
      </c>
      <c r="E145" t="s">
        <v>48</v>
      </c>
      <c r="F145">
        <v>11.931850000000001</v>
      </c>
      <c r="G145">
        <v>15</v>
      </c>
      <c r="I145">
        <v>170</v>
      </c>
      <c r="J145" s="10" t="s">
        <v>34</v>
      </c>
      <c r="K145">
        <v>9.2279999999999998</v>
      </c>
      <c r="M145" s="39" t="s">
        <v>117</v>
      </c>
    </row>
    <row r="146" spans="1:15" ht="15.75" x14ac:dyDescent="0.25">
      <c r="A146" s="24" t="s">
        <v>116</v>
      </c>
      <c r="B146" s="24" t="s">
        <v>57</v>
      </c>
      <c r="C146" t="s">
        <v>28</v>
      </c>
      <c r="E146" t="s">
        <v>48</v>
      </c>
      <c r="F146">
        <v>11.931850000000001</v>
      </c>
      <c r="G146">
        <v>15</v>
      </c>
      <c r="I146">
        <v>170</v>
      </c>
      <c r="J146" s="10" t="s">
        <v>34</v>
      </c>
      <c r="K146">
        <v>11.724</v>
      </c>
      <c r="M146" s="39" t="s">
        <v>117</v>
      </c>
    </row>
    <row r="147" spans="1:15" ht="15.75" x14ac:dyDescent="0.25">
      <c r="A147" s="24" t="s">
        <v>116</v>
      </c>
      <c r="B147" s="24" t="s">
        <v>57</v>
      </c>
      <c r="C147" t="s">
        <v>28</v>
      </c>
      <c r="E147" t="s">
        <v>48</v>
      </c>
      <c r="F147">
        <v>11.931850000000001</v>
      </c>
      <c r="G147">
        <v>15</v>
      </c>
      <c r="I147">
        <v>170</v>
      </c>
      <c r="J147" s="10" t="s">
        <v>34</v>
      </c>
      <c r="K147">
        <v>13.416</v>
      </c>
      <c r="M147" s="39" t="s">
        <v>117</v>
      </c>
    </row>
    <row r="148" spans="1:15" ht="75" x14ac:dyDescent="0.25">
      <c r="A148" s="24" t="s">
        <v>266</v>
      </c>
      <c r="B148" s="24" t="s">
        <v>57</v>
      </c>
      <c r="C148" s="24" t="s">
        <v>19</v>
      </c>
      <c r="D148" s="24">
        <v>0.14399999999999999</v>
      </c>
      <c r="E148" s="24" t="s">
        <v>44</v>
      </c>
      <c r="F148" s="40">
        <v>30</v>
      </c>
      <c r="G148" s="24">
        <v>25</v>
      </c>
      <c r="H148" s="24"/>
      <c r="I148" s="24">
        <v>150</v>
      </c>
      <c r="J148" s="24" t="s">
        <v>17</v>
      </c>
      <c r="K148" s="24">
        <v>9250</v>
      </c>
      <c r="L148" s="24"/>
      <c r="M148" s="24"/>
      <c r="N148" s="35" t="s">
        <v>118</v>
      </c>
      <c r="O148" s="24" t="s">
        <v>119</v>
      </c>
    </row>
    <row r="149" spans="1:15" x14ac:dyDescent="0.25">
      <c r="A149" s="24" t="s">
        <v>266</v>
      </c>
      <c r="B149" s="24" t="s">
        <v>57</v>
      </c>
      <c r="C149" s="24" t="s">
        <v>19</v>
      </c>
      <c r="D149">
        <v>0.14399999999999999</v>
      </c>
      <c r="E149" t="s">
        <v>44</v>
      </c>
      <c r="F149" s="41">
        <v>30</v>
      </c>
      <c r="G149" s="24">
        <v>25</v>
      </c>
      <c r="I149">
        <v>150</v>
      </c>
      <c r="J149" t="s">
        <v>34</v>
      </c>
      <c r="K149">
        <v>5250</v>
      </c>
      <c r="L149" s="24"/>
      <c r="M149" t="s">
        <v>120</v>
      </c>
      <c r="N149" s="10" t="s">
        <v>121</v>
      </c>
    </row>
    <row r="150" spans="1:15" x14ac:dyDescent="0.25">
      <c r="A150" s="24" t="s">
        <v>266</v>
      </c>
      <c r="B150" s="24" t="s">
        <v>57</v>
      </c>
      <c r="C150" s="24" t="s">
        <v>19</v>
      </c>
      <c r="D150">
        <v>0.14399999999999999</v>
      </c>
      <c r="E150" t="s">
        <v>44</v>
      </c>
      <c r="F150" s="41">
        <v>30</v>
      </c>
      <c r="G150" s="24">
        <v>25</v>
      </c>
      <c r="I150">
        <v>150</v>
      </c>
      <c r="J150" t="s">
        <v>34</v>
      </c>
      <c r="K150">
        <v>7780</v>
      </c>
      <c r="L150" s="24"/>
      <c r="M150" t="s">
        <v>120</v>
      </c>
      <c r="N150" t="s">
        <v>122</v>
      </c>
    </row>
    <row r="151" spans="1:15" x14ac:dyDescent="0.25">
      <c r="A151" s="24" t="s">
        <v>266</v>
      </c>
      <c r="B151" s="10" t="s">
        <v>20</v>
      </c>
      <c r="C151" s="24" t="s">
        <v>19</v>
      </c>
      <c r="D151" s="10">
        <v>0.52100000000000002</v>
      </c>
      <c r="E151" s="10" t="s">
        <v>44</v>
      </c>
      <c r="F151" s="42">
        <v>30</v>
      </c>
      <c r="G151" s="10">
        <v>25</v>
      </c>
      <c r="H151" s="10"/>
      <c r="I151" s="10">
        <v>150</v>
      </c>
      <c r="J151" s="10" t="s">
        <v>34</v>
      </c>
      <c r="K151" s="10">
        <v>17730</v>
      </c>
      <c r="L151" s="10" t="s">
        <v>123</v>
      </c>
      <c r="M151" s="10" t="s">
        <v>120</v>
      </c>
      <c r="N151" s="10" t="s">
        <v>124</v>
      </c>
      <c r="O151" s="10"/>
    </row>
    <row r="152" spans="1:15" x14ac:dyDescent="0.25">
      <c r="A152" s="24" t="s">
        <v>266</v>
      </c>
      <c r="B152" s="10" t="s">
        <v>57</v>
      </c>
      <c r="C152" s="24" t="s">
        <v>19</v>
      </c>
      <c r="D152" s="10">
        <v>0.14399999999999999</v>
      </c>
      <c r="E152" s="10" t="s">
        <v>44</v>
      </c>
      <c r="F152" s="42">
        <v>30</v>
      </c>
      <c r="G152" s="10">
        <v>25</v>
      </c>
      <c r="H152" s="10"/>
      <c r="I152" s="10">
        <v>150</v>
      </c>
      <c r="J152" t="s">
        <v>34</v>
      </c>
      <c r="K152">
        <v>4160</v>
      </c>
      <c r="L152" s="24"/>
      <c r="M152" s="10" t="s">
        <v>125</v>
      </c>
      <c r="N152" s="10" t="s">
        <v>126</v>
      </c>
      <c r="O152" s="10"/>
    </row>
    <row r="153" spans="1:15" x14ac:dyDescent="0.25">
      <c r="A153" s="24" t="s">
        <v>266</v>
      </c>
      <c r="B153" s="24" t="s">
        <v>57</v>
      </c>
      <c r="C153" s="24" t="s">
        <v>19</v>
      </c>
      <c r="D153">
        <v>0.14399999999999999</v>
      </c>
      <c r="E153" t="s">
        <v>44</v>
      </c>
      <c r="F153" s="41">
        <v>30</v>
      </c>
      <c r="G153" s="24">
        <v>25</v>
      </c>
      <c r="I153">
        <v>150</v>
      </c>
      <c r="J153" t="s">
        <v>34</v>
      </c>
      <c r="K153">
        <v>6990</v>
      </c>
      <c r="L153" s="24"/>
      <c r="M153" t="s">
        <v>125</v>
      </c>
      <c r="N153" s="24" t="s">
        <v>127</v>
      </c>
    </row>
    <row r="154" spans="1:15" ht="15.75" thickBot="1" x14ac:dyDescent="0.3">
      <c r="A154" s="24" t="s">
        <v>266</v>
      </c>
      <c r="B154" s="24" t="s">
        <v>20</v>
      </c>
      <c r="C154" s="24" t="s">
        <v>19</v>
      </c>
      <c r="D154" s="33">
        <v>0.52100000000000002</v>
      </c>
      <c r="E154" t="s">
        <v>44</v>
      </c>
      <c r="F154" s="41">
        <v>30</v>
      </c>
      <c r="G154" s="24">
        <v>25</v>
      </c>
      <c r="I154">
        <v>150</v>
      </c>
      <c r="J154" t="s">
        <v>34</v>
      </c>
      <c r="K154">
        <v>8710</v>
      </c>
      <c r="L154" s="24" t="s">
        <v>123</v>
      </c>
      <c r="M154" t="s">
        <v>125</v>
      </c>
      <c r="N154" s="24" t="s">
        <v>128</v>
      </c>
    </row>
    <row r="155" spans="1:15" ht="45.75" thickBot="1" x14ac:dyDescent="0.3">
      <c r="A155" s="43" t="s">
        <v>265</v>
      </c>
      <c r="B155" s="16" t="s">
        <v>14</v>
      </c>
      <c r="C155" s="16" t="s">
        <v>19</v>
      </c>
      <c r="D155" s="34">
        <v>0.45519999999999999</v>
      </c>
      <c r="E155" t="s">
        <v>44</v>
      </c>
      <c r="F155" s="16">
        <f>(5+25)/2</f>
        <v>15</v>
      </c>
      <c r="G155" s="16">
        <v>25</v>
      </c>
      <c r="H155" s="16"/>
      <c r="I155" s="16">
        <v>150</v>
      </c>
      <c r="J155" s="16" t="s">
        <v>17</v>
      </c>
      <c r="K155" s="33">
        <v>536</v>
      </c>
      <c r="L155" s="16"/>
      <c r="M155" s="16"/>
      <c r="N155" s="3" t="s">
        <v>19</v>
      </c>
      <c r="O155" s="43" t="s">
        <v>129</v>
      </c>
    </row>
    <row r="156" spans="1:15" ht="15.75" thickBot="1" x14ac:dyDescent="0.3">
      <c r="A156" s="43" t="s">
        <v>265</v>
      </c>
      <c r="B156" s="24" t="s">
        <v>14</v>
      </c>
      <c r="C156" s="24" t="s">
        <v>130</v>
      </c>
      <c r="D156" s="33">
        <v>0.36630000000000001</v>
      </c>
      <c r="E156" t="s">
        <v>44</v>
      </c>
      <c r="F156" s="16">
        <f t="shared" ref="F156:F158" si="0">(5+25)/2</f>
        <v>15</v>
      </c>
      <c r="G156" s="24">
        <v>25</v>
      </c>
      <c r="H156" s="24"/>
      <c r="I156">
        <v>150</v>
      </c>
      <c r="J156" s="16" t="s">
        <v>17</v>
      </c>
      <c r="K156" s="33">
        <v>670</v>
      </c>
      <c r="M156" s="24"/>
      <c r="N156" s="24" t="s">
        <v>130</v>
      </c>
      <c r="O156" s="3"/>
    </row>
    <row r="157" spans="1:15" ht="15.75" thickBot="1" x14ac:dyDescent="0.3">
      <c r="A157" s="43" t="s">
        <v>265</v>
      </c>
      <c r="B157" s="24" t="s">
        <v>20</v>
      </c>
      <c r="C157" s="16" t="s">
        <v>19</v>
      </c>
      <c r="D157" s="33">
        <v>0.83609999999999995</v>
      </c>
      <c r="E157" t="s">
        <v>44</v>
      </c>
      <c r="F157" s="16">
        <f t="shared" si="0"/>
        <v>15</v>
      </c>
      <c r="G157" s="16">
        <v>25</v>
      </c>
      <c r="H157" s="24"/>
      <c r="I157" s="16">
        <v>150</v>
      </c>
      <c r="J157" s="16" t="s">
        <v>17</v>
      </c>
      <c r="K157" s="33">
        <v>821</v>
      </c>
      <c r="L157" s="24" t="s">
        <v>131</v>
      </c>
      <c r="M157" s="3"/>
      <c r="N157" s="24" t="s">
        <v>132</v>
      </c>
      <c r="O157" s="3"/>
    </row>
    <row r="158" spans="1:15" ht="15.75" thickBot="1" x14ac:dyDescent="0.3">
      <c r="A158" s="43" t="s">
        <v>265</v>
      </c>
      <c r="B158" s="24" t="s">
        <v>20</v>
      </c>
      <c r="C158" s="16" t="s">
        <v>19</v>
      </c>
      <c r="D158" s="33">
        <v>0.36630000000000001</v>
      </c>
      <c r="E158" t="s">
        <v>44</v>
      </c>
      <c r="F158" s="16">
        <f t="shared" si="0"/>
        <v>15</v>
      </c>
      <c r="G158" s="24">
        <v>25</v>
      </c>
      <c r="H158" s="24"/>
      <c r="I158">
        <v>150</v>
      </c>
      <c r="J158" s="16" t="s">
        <v>17</v>
      </c>
      <c r="K158" s="33">
        <v>977</v>
      </c>
      <c r="L158" s="24" t="s">
        <v>131</v>
      </c>
      <c r="M158" s="3"/>
      <c r="N158" s="24" t="s">
        <v>133</v>
      </c>
      <c r="O158" s="3"/>
    </row>
    <row r="159" spans="1:15" x14ac:dyDescent="0.25">
      <c r="A159" s="10" t="s">
        <v>134</v>
      </c>
      <c r="B159" s="10" t="s">
        <v>14</v>
      </c>
      <c r="C159" s="10" t="s">
        <v>19</v>
      </c>
      <c r="D159" s="10"/>
      <c r="E159" s="10" t="s">
        <v>44</v>
      </c>
      <c r="F159" s="10">
        <f>(0.1+2)/2</f>
        <v>1.05</v>
      </c>
      <c r="G159" s="10">
        <v>25</v>
      </c>
      <c r="H159" s="10">
        <v>5</v>
      </c>
      <c r="I159" s="10"/>
      <c r="J159" s="10" t="s">
        <v>17</v>
      </c>
      <c r="K159" s="10">
        <v>78.73599999999999</v>
      </c>
      <c r="L159" s="10"/>
      <c r="M159" s="10"/>
      <c r="N159" s="10" t="s">
        <v>135</v>
      </c>
      <c r="O159" s="3"/>
    </row>
    <row r="160" spans="1:15" x14ac:dyDescent="0.25">
      <c r="A160" s="10" t="s">
        <v>134</v>
      </c>
      <c r="B160" s="24" t="s">
        <v>14</v>
      </c>
      <c r="C160" s="16" t="s">
        <v>19</v>
      </c>
      <c r="D160" s="10"/>
      <c r="E160" t="s">
        <v>44</v>
      </c>
      <c r="F160" s="16">
        <f t="shared" ref="F160:F161" si="1">(0.1+2)/2</f>
        <v>1.05</v>
      </c>
      <c r="G160" s="16">
        <v>25</v>
      </c>
      <c r="H160">
        <v>5</v>
      </c>
      <c r="J160" s="16" t="s">
        <v>17</v>
      </c>
      <c r="K160" s="33">
        <v>39.989599999999996</v>
      </c>
      <c r="L160" s="10"/>
      <c r="M160" s="10"/>
      <c r="N160" t="s">
        <v>136</v>
      </c>
      <c r="O160" s="3"/>
    </row>
    <row r="161" spans="1:15" x14ac:dyDescent="0.25">
      <c r="A161" s="10" t="s">
        <v>134</v>
      </c>
      <c r="B161" s="24" t="s">
        <v>14</v>
      </c>
      <c r="C161" s="16" t="s">
        <v>19</v>
      </c>
      <c r="D161" s="24"/>
      <c r="E161" t="s">
        <v>44</v>
      </c>
      <c r="F161" s="16">
        <f t="shared" si="1"/>
        <v>1.05</v>
      </c>
      <c r="G161" s="16">
        <v>25</v>
      </c>
      <c r="H161">
        <v>5</v>
      </c>
      <c r="J161" s="16" t="s">
        <v>17</v>
      </c>
      <c r="K161" s="24">
        <v>30.251199999999997</v>
      </c>
      <c r="L161" s="10"/>
      <c r="M161" s="24"/>
      <c r="N161" s="24" t="s">
        <v>137</v>
      </c>
      <c r="O161" s="3"/>
    </row>
    <row r="162" spans="1:15" x14ac:dyDescent="0.25">
      <c r="A162" s="10" t="s">
        <v>138</v>
      </c>
      <c r="B162" s="10" t="s">
        <v>14</v>
      </c>
      <c r="C162" s="10" t="s">
        <v>28</v>
      </c>
      <c r="D162" s="10"/>
      <c r="E162" s="10" t="s">
        <v>26</v>
      </c>
      <c r="F162" s="10">
        <v>3.34</v>
      </c>
      <c r="G162" s="10">
        <v>25</v>
      </c>
      <c r="H162" s="10">
        <v>6</v>
      </c>
      <c r="I162" s="10"/>
      <c r="J162" s="10" t="s">
        <v>17</v>
      </c>
      <c r="K162" s="10">
        <v>16.1495</v>
      </c>
      <c r="L162" s="10"/>
      <c r="M162" s="10"/>
      <c r="N162" s="10" t="s">
        <v>139</v>
      </c>
      <c r="O162" s="10" t="s">
        <v>140</v>
      </c>
    </row>
    <row r="163" spans="1:15" x14ac:dyDescent="0.25">
      <c r="A163" s="10" t="s">
        <v>138</v>
      </c>
      <c r="B163" s="10" t="s">
        <v>14</v>
      </c>
      <c r="C163" s="3" t="s">
        <v>28</v>
      </c>
      <c r="D163" s="3"/>
      <c r="E163" s="3" t="s">
        <v>26</v>
      </c>
      <c r="F163" s="3">
        <v>3.34</v>
      </c>
      <c r="G163" s="3">
        <v>25</v>
      </c>
      <c r="H163" s="3">
        <v>6</v>
      </c>
      <c r="I163" s="3"/>
      <c r="J163" s="3" t="s">
        <v>34</v>
      </c>
      <c r="K163" s="3">
        <v>14.4756</v>
      </c>
      <c r="L163" s="3"/>
      <c r="M163" s="3" t="s">
        <v>141</v>
      </c>
      <c r="N163" s="3" t="s">
        <v>142</v>
      </c>
      <c r="O163" s="3"/>
    </row>
    <row r="164" spans="1:15" x14ac:dyDescent="0.25">
      <c r="A164" s="10" t="s">
        <v>138</v>
      </c>
      <c r="B164" s="10" t="s">
        <v>14</v>
      </c>
      <c r="C164" s="3" t="s">
        <v>28</v>
      </c>
      <c r="D164" s="3"/>
      <c r="E164" s="3" t="s">
        <v>26</v>
      </c>
      <c r="F164" s="3">
        <v>3.34</v>
      </c>
      <c r="G164" s="3">
        <v>25</v>
      </c>
      <c r="H164" s="3">
        <v>6</v>
      </c>
      <c r="I164" s="3"/>
      <c r="J164" s="3" t="s">
        <v>34</v>
      </c>
      <c r="K164" s="3">
        <v>13.171900000000001</v>
      </c>
      <c r="L164" s="3"/>
      <c r="M164" s="3" t="s">
        <v>141</v>
      </c>
      <c r="N164" s="3" t="s">
        <v>143</v>
      </c>
      <c r="O164" s="3"/>
    </row>
    <row r="165" spans="1:15" x14ac:dyDescent="0.25">
      <c r="A165" s="10" t="s">
        <v>138</v>
      </c>
      <c r="B165" s="10" t="s">
        <v>14</v>
      </c>
      <c r="C165" s="3" t="s">
        <v>28</v>
      </c>
      <c r="D165" s="3"/>
      <c r="E165" s="3" t="s">
        <v>26</v>
      </c>
      <c r="F165" s="3">
        <v>3.34</v>
      </c>
      <c r="G165" s="3">
        <v>25</v>
      </c>
      <c r="H165" s="3">
        <v>6</v>
      </c>
      <c r="I165" s="3"/>
      <c r="J165" s="3" t="s">
        <v>34</v>
      </c>
      <c r="K165" s="3">
        <v>9.2150999999999996</v>
      </c>
      <c r="L165" s="3"/>
      <c r="M165" s="3" t="s">
        <v>141</v>
      </c>
      <c r="N165" s="3" t="s">
        <v>144</v>
      </c>
      <c r="O165" s="3"/>
    </row>
    <row r="166" spans="1:15" x14ac:dyDescent="0.25">
      <c r="A166" s="10" t="s">
        <v>138</v>
      </c>
      <c r="B166" s="10" t="s">
        <v>14</v>
      </c>
      <c r="C166" s="3" t="s">
        <v>28</v>
      </c>
      <c r="D166" s="3"/>
      <c r="E166" s="3" t="s">
        <v>26</v>
      </c>
      <c r="F166" s="3">
        <v>3.34</v>
      </c>
      <c r="G166" s="3">
        <v>25</v>
      </c>
      <c r="H166" s="3">
        <v>6</v>
      </c>
      <c r="I166" s="3"/>
      <c r="J166" s="3" t="s">
        <v>34</v>
      </c>
      <c r="K166" s="3">
        <v>7.8110999999999997</v>
      </c>
      <c r="L166" s="3"/>
      <c r="M166" s="3" t="s">
        <v>141</v>
      </c>
      <c r="N166" s="3" t="s">
        <v>145</v>
      </c>
      <c r="O166" s="3"/>
    </row>
    <row r="167" spans="1:15" x14ac:dyDescent="0.25">
      <c r="A167" s="10" t="s">
        <v>138</v>
      </c>
      <c r="B167" s="10" t="s">
        <v>14</v>
      </c>
      <c r="C167" s="3" t="s">
        <v>28</v>
      </c>
      <c r="D167" s="16"/>
      <c r="E167" s="16" t="s">
        <v>44</v>
      </c>
      <c r="F167" s="16">
        <v>10.88</v>
      </c>
      <c r="G167" s="3">
        <v>25</v>
      </c>
      <c r="H167" s="3">
        <v>6</v>
      </c>
      <c r="I167" s="16"/>
      <c r="J167" s="3" t="s">
        <v>17</v>
      </c>
      <c r="K167" s="16">
        <v>23.833500000000001</v>
      </c>
      <c r="L167" s="16"/>
      <c r="M167" s="16"/>
      <c r="N167" s="16" t="s">
        <v>146</v>
      </c>
      <c r="O167" s="16"/>
    </row>
    <row r="168" spans="1:15" x14ac:dyDescent="0.25">
      <c r="A168" s="10" t="s">
        <v>138</v>
      </c>
      <c r="B168" s="10" t="s">
        <v>14</v>
      </c>
      <c r="C168" s="3" t="s">
        <v>28</v>
      </c>
      <c r="D168" s="3"/>
      <c r="E168" s="3" t="s">
        <v>44</v>
      </c>
      <c r="F168" s="16">
        <v>10.88</v>
      </c>
      <c r="G168" s="3">
        <v>25</v>
      </c>
      <c r="H168" s="3">
        <v>6</v>
      </c>
      <c r="I168" s="3"/>
      <c r="J168" s="3" t="s">
        <v>34</v>
      </c>
      <c r="K168" s="3">
        <v>20.128900000000002</v>
      </c>
      <c r="L168" s="3"/>
      <c r="M168" s="3" t="s">
        <v>147</v>
      </c>
      <c r="N168" s="3" t="s">
        <v>148</v>
      </c>
      <c r="O168" s="3"/>
    </row>
    <row r="169" spans="1:15" x14ac:dyDescent="0.25">
      <c r="A169" s="10" t="s">
        <v>138</v>
      </c>
      <c r="B169" s="10" t="s">
        <v>14</v>
      </c>
      <c r="C169" s="3" t="s">
        <v>28</v>
      </c>
      <c r="D169" s="3"/>
      <c r="E169" s="3" t="s">
        <v>44</v>
      </c>
      <c r="F169" s="16">
        <v>10.88</v>
      </c>
      <c r="G169" s="3">
        <v>25</v>
      </c>
      <c r="H169" s="3">
        <v>6</v>
      </c>
      <c r="I169" s="3"/>
      <c r="J169" s="3" t="s">
        <v>34</v>
      </c>
      <c r="K169" s="3">
        <v>19.098700000000001</v>
      </c>
      <c r="L169" s="3"/>
      <c r="M169" s="3" t="s">
        <v>147</v>
      </c>
      <c r="N169" s="3" t="s">
        <v>149</v>
      </c>
      <c r="O169" s="3"/>
    </row>
    <row r="170" spans="1:15" x14ac:dyDescent="0.25">
      <c r="A170" s="10" t="s">
        <v>138</v>
      </c>
      <c r="B170" s="10" t="s">
        <v>14</v>
      </c>
      <c r="C170" s="3" t="s">
        <v>28</v>
      </c>
      <c r="D170" s="3"/>
      <c r="E170" s="3" t="s">
        <v>44</v>
      </c>
      <c r="F170" s="16">
        <v>10.88</v>
      </c>
      <c r="G170" s="3">
        <v>25</v>
      </c>
      <c r="H170" s="3">
        <v>6</v>
      </c>
      <c r="I170" s="3"/>
      <c r="J170" s="3" t="s">
        <v>34</v>
      </c>
      <c r="K170" s="3">
        <v>13.9557</v>
      </c>
      <c r="L170" s="3"/>
      <c r="M170" s="3" t="s">
        <v>147</v>
      </c>
      <c r="N170" s="3" t="s">
        <v>150</v>
      </c>
      <c r="O170" s="3"/>
    </row>
    <row r="171" spans="1:15" x14ac:dyDescent="0.25">
      <c r="A171" s="10" t="s">
        <v>138</v>
      </c>
      <c r="B171" s="10" t="s">
        <v>14</v>
      </c>
      <c r="C171" s="3" t="s">
        <v>28</v>
      </c>
      <c r="D171" s="3"/>
      <c r="E171" s="3" t="s">
        <v>44</v>
      </c>
      <c r="F171" s="16">
        <v>10.88</v>
      </c>
      <c r="G171" s="3">
        <v>25</v>
      </c>
      <c r="H171" s="3">
        <v>6</v>
      </c>
      <c r="I171" s="3"/>
      <c r="J171" s="3" t="s">
        <v>34</v>
      </c>
      <c r="K171" s="3">
        <v>11.7943</v>
      </c>
      <c r="L171" s="3"/>
      <c r="M171" s="3" t="s">
        <v>147</v>
      </c>
      <c r="N171" s="3" t="s">
        <v>151</v>
      </c>
      <c r="O171" s="3"/>
    </row>
    <row r="172" spans="1:15" x14ac:dyDescent="0.25">
      <c r="A172" s="10" t="s">
        <v>138</v>
      </c>
      <c r="B172" s="10" t="s">
        <v>20</v>
      </c>
      <c r="C172" s="3" t="s">
        <v>28</v>
      </c>
      <c r="D172" s="10"/>
      <c r="E172" s="3" t="s">
        <v>26</v>
      </c>
      <c r="F172" s="3">
        <v>3.34</v>
      </c>
      <c r="G172" s="3">
        <v>25</v>
      </c>
      <c r="H172" s="3">
        <v>6</v>
      </c>
      <c r="I172" s="10"/>
      <c r="J172" s="3" t="s">
        <v>17</v>
      </c>
      <c r="K172" s="10">
        <v>19.887799999999999</v>
      </c>
      <c r="L172" s="10" t="s">
        <v>27</v>
      </c>
      <c r="M172" s="10"/>
      <c r="N172" s="3" t="s">
        <v>139</v>
      </c>
      <c r="O172" s="10" t="s">
        <v>152</v>
      </c>
    </row>
    <row r="173" spans="1:15" x14ac:dyDescent="0.25">
      <c r="A173" s="10" t="s">
        <v>138</v>
      </c>
      <c r="B173" s="10" t="s">
        <v>20</v>
      </c>
      <c r="C173" s="3" t="s">
        <v>28</v>
      </c>
      <c r="D173" s="3"/>
      <c r="E173" s="3" t="s">
        <v>26</v>
      </c>
      <c r="F173" s="3">
        <v>3.34</v>
      </c>
      <c r="G173" s="3">
        <v>25</v>
      </c>
      <c r="H173" s="3">
        <v>6</v>
      </c>
      <c r="I173" s="3"/>
      <c r="J173" s="3" t="s">
        <v>34</v>
      </c>
      <c r="K173" s="3">
        <v>16.749700000000001</v>
      </c>
      <c r="L173" s="3"/>
      <c r="M173" s="3" t="s">
        <v>141</v>
      </c>
      <c r="N173" s="3" t="s">
        <v>142</v>
      </c>
      <c r="O173" s="3"/>
    </row>
    <row r="174" spans="1:15" x14ac:dyDescent="0.25">
      <c r="A174" s="10" t="s">
        <v>138</v>
      </c>
      <c r="B174" s="10" t="s">
        <v>20</v>
      </c>
      <c r="C174" s="3" t="s">
        <v>28</v>
      </c>
      <c r="D174" s="3"/>
      <c r="E174" s="3" t="s">
        <v>26</v>
      </c>
      <c r="F174" s="3">
        <v>3.34</v>
      </c>
      <c r="G174" s="3">
        <v>25</v>
      </c>
      <c r="H174" s="3">
        <v>6</v>
      </c>
      <c r="I174" s="3"/>
      <c r="J174" s="3" t="s">
        <v>34</v>
      </c>
      <c r="K174" s="3">
        <v>15.297800000000001</v>
      </c>
      <c r="L174" s="3"/>
      <c r="M174" s="3" t="s">
        <v>141</v>
      </c>
      <c r="N174" s="3" t="s">
        <v>143</v>
      </c>
      <c r="O174" s="3"/>
    </row>
    <row r="175" spans="1:15" x14ac:dyDescent="0.25">
      <c r="A175" s="10" t="s">
        <v>138</v>
      </c>
      <c r="B175" s="10" t="s">
        <v>20</v>
      </c>
      <c r="C175" s="3" t="s">
        <v>28</v>
      </c>
      <c r="D175" s="3"/>
      <c r="E175" s="3" t="s">
        <v>26</v>
      </c>
      <c r="F175" s="3">
        <v>3.34</v>
      </c>
      <c r="G175" s="3">
        <v>25</v>
      </c>
      <c r="H175" s="3">
        <v>6</v>
      </c>
      <c r="I175" s="3"/>
      <c r="J175" s="3" t="s">
        <v>34</v>
      </c>
      <c r="K175" s="3">
        <v>11.462999999999999</v>
      </c>
      <c r="L175" s="3"/>
      <c r="M175" s="3" t="s">
        <v>141</v>
      </c>
      <c r="N175" s="3" t="s">
        <v>144</v>
      </c>
      <c r="O175" s="3"/>
    </row>
    <row r="176" spans="1:15" x14ac:dyDescent="0.25">
      <c r="A176" s="10" t="s">
        <v>138</v>
      </c>
      <c r="B176" s="10" t="s">
        <v>20</v>
      </c>
      <c r="C176" s="3" t="s">
        <v>28</v>
      </c>
      <c r="D176" s="3"/>
      <c r="E176" s="3" t="s">
        <v>26</v>
      </c>
      <c r="F176" s="3">
        <v>3.34</v>
      </c>
      <c r="G176" s="3">
        <v>25</v>
      </c>
      <c r="H176" s="3">
        <v>6</v>
      </c>
      <c r="I176" s="3"/>
      <c r="J176" s="3" t="s">
        <v>34</v>
      </c>
      <c r="K176" s="3">
        <v>10.4185</v>
      </c>
      <c r="L176" s="3"/>
      <c r="M176" s="3" t="s">
        <v>141</v>
      </c>
      <c r="N176" s="3" t="s">
        <v>145</v>
      </c>
      <c r="O176" s="3"/>
    </row>
    <row r="177" spans="1:15" x14ac:dyDescent="0.25">
      <c r="A177" s="10" t="s">
        <v>138</v>
      </c>
      <c r="B177" s="10" t="s">
        <v>20</v>
      </c>
      <c r="C177" s="3" t="s">
        <v>28</v>
      </c>
      <c r="D177" s="3"/>
      <c r="E177" s="16" t="s">
        <v>44</v>
      </c>
      <c r="F177" s="16">
        <v>10.88</v>
      </c>
      <c r="G177" s="3">
        <v>25</v>
      </c>
      <c r="H177" s="3">
        <v>6</v>
      </c>
      <c r="I177" s="3"/>
      <c r="J177" s="3" t="s">
        <v>17</v>
      </c>
      <c r="K177" s="3">
        <v>26.681899999999999</v>
      </c>
      <c r="L177" s="3"/>
      <c r="M177" s="16"/>
      <c r="N177" s="16" t="s">
        <v>146</v>
      </c>
      <c r="O177" s="3"/>
    </row>
    <row r="178" spans="1:15" x14ac:dyDescent="0.25">
      <c r="A178" s="10" t="s">
        <v>138</v>
      </c>
      <c r="B178" s="10" t="s">
        <v>20</v>
      </c>
      <c r="C178" s="3" t="s">
        <v>28</v>
      </c>
      <c r="D178" s="3"/>
      <c r="E178" s="3" t="s">
        <v>44</v>
      </c>
      <c r="F178" s="16">
        <v>10.88</v>
      </c>
      <c r="G178" s="3">
        <v>25</v>
      </c>
      <c r="H178" s="3">
        <v>6</v>
      </c>
      <c r="I178" s="3"/>
      <c r="J178" s="3" t="s">
        <v>34</v>
      </c>
      <c r="K178" s="3">
        <v>22.435099999999998</v>
      </c>
      <c r="L178" s="3"/>
      <c r="M178" s="3" t="s">
        <v>147</v>
      </c>
      <c r="N178" s="3" t="s">
        <v>148</v>
      </c>
      <c r="O178" s="3"/>
    </row>
    <row r="179" spans="1:15" x14ac:dyDescent="0.25">
      <c r="A179" s="10" t="s">
        <v>138</v>
      </c>
      <c r="B179" s="10" t="s">
        <v>20</v>
      </c>
      <c r="C179" s="3" t="s">
        <v>28</v>
      </c>
      <c r="D179" s="3"/>
      <c r="E179" s="3" t="s">
        <v>44</v>
      </c>
      <c r="F179" s="16">
        <v>10.88</v>
      </c>
      <c r="G179" s="3">
        <v>25</v>
      </c>
      <c r="H179" s="3">
        <v>6</v>
      </c>
      <c r="I179" s="3"/>
      <c r="J179" s="3" t="s">
        <v>34</v>
      </c>
      <c r="K179" s="3">
        <v>21.464600000000001</v>
      </c>
      <c r="L179" s="3"/>
      <c r="M179" s="3" t="s">
        <v>147</v>
      </c>
      <c r="N179" s="3" t="s">
        <v>149</v>
      </c>
      <c r="O179" s="3"/>
    </row>
    <row r="180" spans="1:15" x14ac:dyDescent="0.25">
      <c r="A180" s="10" t="s">
        <v>138</v>
      </c>
      <c r="B180" s="10" t="s">
        <v>20</v>
      </c>
      <c r="C180" s="3" t="s">
        <v>28</v>
      </c>
      <c r="D180" s="3"/>
      <c r="E180" s="3" t="s">
        <v>44</v>
      </c>
      <c r="F180" s="16">
        <v>10.88</v>
      </c>
      <c r="G180" s="3">
        <v>25</v>
      </c>
      <c r="H180" s="3">
        <v>6</v>
      </c>
      <c r="I180" s="3"/>
      <c r="J180" s="3" t="s">
        <v>34</v>
      </c>
      <c r="K180" s="3">
        <v>15.8741</v>
      </c>
      <c r="L180" s="3"/>
      <c r="M180" s="3" t="s">
        <v>147</v>
      </c>
      <c r="N180" s="3" t="s">
        <v>150</v>
      </c>
      <c r="O180" s="3"/>
    </row>
    <row r="181" spans="1:15" x14ac:dyDescent="0.25">
      <c r="A181" s="10" t="s">
        <v>138</v>
      </c>
      <c r="B181" s="10" t="s">
        <v>20</v>
      </c>
      <c r="C181" s="3" t="s">
        <v>28</v>
      </c>
      <c r="D181" s="3"/>
      <c r="E181" s="3" t="s">
        <v>44</v>
      </c>
      <c r="F181" s="16">
        <v>10.88</v>
      </c>
      <c r="G181" s="3">
        <v>25</v>
      </c>
      <c r="H181" s="3">
        <v>6</v>
      </c>
      <c r="I181" s="3"/>
      <c r="J181" s="3" t="s">
        <v>34</v>
      </c>
      <c r="K181" s="3">
        <v>13.072699999999999</v>
      </c>
      <c r="L181" s="3"/>
      <c r="M181" s="3" t="s">
        <v>147</v>
      </c>
      <c r="N181" s="3" t="s">
        <v>151</v>
      </c>
      <c r="O181" s="3"/>
    </row>
    <row r="182" spans="1:15" x14ac:dyDescent="0.25">
      <c r="A182" s="10" t="s">
        <v>138</v>
      </c>
      <c r="B182" s="10" t="s">
        <v>20</v>
      </c>
      <c r="C182" s="3" t="s">
        <v>28</v>
      </c>
      <c r="D182" s="10"/>
      <c r="E182" s="3" t="s">
        <v>26</v>
      </c>
      <c r="F182" s="3">
        <v>3.34</v>
      </c>
      <c r="G182" s="3">
        <v>25</v>
      </c>
      <c r="H182" s="3">
        <v>6</v>
      </c>
      <c r="I182" s="10"/>
      <c r="J182" s="3" t="s">
        <v>17</v>
      </c>
      <c r="K182" s="10">
        <v>31.404800000000002</v>
      </c>
      <c r="L182" s="10" t="s">
        <v>153</v>
      </c>
      <c r="M182" s="10"/>
      <c r="N182" s="3" t="s">
        <v>139</v>
      </c>
      <c r="O182" s="10" t="s">
        <v>154</v>
      </c>
    </row>
    <row r="183" spans="1:15" x14ac:dyDescent="0.25">
      <c r="A183" s="10" t="s">
        <v>138</v>
      </c>
      <c r="B183" s="10" t="s">
        <v>20</v>
      </c>
      <c r="C183" s="3" t="s">
        <v>28</v>
      </c>
      <c r="D183" s="3"/>
      <c r="E183" s="3" t="s">
        <v>26</v>
      </c>
      <c r="F183" s="3">
        <v>3.34</v>
      </c>
      <c r="G183" s="3">
        <v>25</v>
      </c>
      <c r="H183" s="3">
        <v>6</v>
      </c>
      <c r="I183" s="3"/>
      <c r="J183" s="3" t="s">
        <v>34</v>
      </c>
      <c r="K183" s="3">
        <v>30.592400000000001</v>
      </c>
      <c r="L183" s="3"/>
      <c r="M183" s="3" t="s">
        <v>141</v>
      </c>
      <c r="N183" s="3" t="s">
        <v>142</v>
      </c>
      <c r="O183" s="3"/>
    </row>
    <row r="184" spans="1:15" x14ac:dyDescent="0.25">
      <c r="A184" s="10" t="s">
        <v>138</v>
      </c>
      <c r="B184" s="10" t="s">
        <v>20</v>
      </c>
      <c r="C184" s="3" t="s">
        <v>28</v>
      </c>
      <c r="D184" s="3"/>
      <c r="E184" s="3" t="s">
        <v>26</v>
      </c>
      <c r="F184" s="3">
        <v>3.34</v>
      </c>
      <c r="G184" s="3">
        <v>25</v>
      </c>
      <c r="H184" s="3">
        <v>6</v>
      </c>
      <c r="I184" s="3"/>
      <c r="J184" s="3" t="s">
        <v>34</v>
      </c>
      <c r="K184" s="3">
        <v>29.342400000000001</v>
      </c>
      <c r="L184" s="3"/>
      <c r="M184" s="3" t="s">
        <v>141</v>
      </c>
      <c r="N184" s="3" t="s">
        <v>143</v>
      </c>
      <c r="O184" s="3"/>
    </row>
    <row r="185" spans="1:15" x14ac:dyDescent="0.25">
      <c r="A185" s="10" t="s">
        <v>138</v>
      </c>
      <c r="B185" s="10" t="s">
        <v>20</v>
      </c>
      <c r="C185" s="3" t="s">
        <v>28</v>
      </c>
      <c r="D185" s="3"/>
      <c r="E185" s="3" t="s">
        <v>26</v>
      </c>
      <c r="F185" s="3">
        <v>3.34</v>
      </c>
      <c r="G185" s="3">
        <v>25</v>
      </c>
      <c r="H185" s="3">
        <v>6</v>
      </c>
      <c r="I185" s="3"/>
      <c r="J185" s="3" t="s">
        <v>34</v>
      </c>
      <c r="K185" s="3">
        <v>28.5197</v>
      </c>
      <c r="L185" s="3"/>
      <c r="M185" s="3" t="s">
        <v>141</v>
      </c>
      <c r="N185" s="3" t="s">
        <v>144</v>
      </c>
      <c r="O185" s="3"/>
    </row>
    <row r="186" spans="1:15" x14ac:dyDescent="0.25">
      <c r="A186" s="10" t="s">
        <v>138</v>
      </c>
      <c r="B186" s="10" t="s">
        <v>20</v>
      </c>
      <c r="C186" s="3" t="s">
        <v>28</v>
      </c>
      <c r="D186" s="3"/>
      <c r="E186" s="3" t="s">
        <v>26</v>
      </c>
      <c r="F186" s="3">
        <v>3.34</v>
      </c>
      <c r="G186" s="3">
        <v>25</v>
      </c>
      <c r="H186" s="3">
        <v>6</v>
      </c>
      <c r="I186" s="3"/>
      <c r="J186" s="3" t="s">
        <v>34</v>
      </c>
      <c r="K186" s="3">
        <v>28.315799999999999</v>
      </c>
      <c r="L186" s="3"/>
      <c r="M186" s="3" t="s">
        <v>141</v>
      </c>
      <c r="N186" s="3" t="s">
        <v>145</v>
      </c>
      <c r="O186" s="3"/>
    </row>
    <row r="187" spans="1:15" x14ac:dyDescent="0.25">
      <c r="A187" s="10" t="s">
        <v>138</v>
      </c>
      <c r="B187" s="10" t="s">
        <v>20</v>
      </c>
      <c r="C187" s="3" t="s">
        <v>28</v>
      </c>
      <c r="D187" s="3"/>
      <c r="E187" s="16" t="s">
        <v>44</v>
      </c>
      <c r="F187" s="16">
        <v>10.88</v>
      </c>
      <c r="G187" s="3">
        <v>25</v>
      </c>
      <c r="H187" s="3">
        <v>6</v>
      </c>
      <c r="I187" s="3"/>
      <c r="J187" s="3" t="s">
        <v>17</v>
      </c>
      <c r="K187" s="3">
        <v>43.884599999999999</v>
      </c>
      <c r="L187" s="3"/>
      <c r="M187" s="16"/>
      <c r="N187" s="16" t="s">
        <v>146</v>
      </c>
      <c r="O187" s="3"/>
    </row>
    <row r="188" spans="1:15" x14ac:dyDescent="0.25">
      <c r="A188" s="10" t="s">
        <v>138</v>
      </c>
      <c r="B188" s="10" t="s">
        <v>20</v>
      </c>
      <c r="C188" s="3" t="s">
        <v>28</v>
      </c>
      <c r="D188" s="3"/>
      <c r="E188" s="3" t="s">
        <v>44</v>
      </c>
      <c r="F188" s="16">
        <v>10.88</v>
      </c>
      <c r="G188" s="3">
        <v>25</v>
      </c>
      <c r="H188" s="3">
        <v>6</v>
      </c>
      <c r="I188" s="3"/>
      <c r="J188" s="3" t="s">
        <v>34</v>
      </c>
      <c r="K188" s="3">
        <v>41.786099999999998</v>
      </c>
      <c r="L188" s="3"/>
      <c r="M188" s="3" t="s">
        <v>147</v>
      </c>
      <c r="N188" s="3" t="s">
        <v>148</v>
      </c>
      <c r="O188" s="3"/>
    </row>
    <row r="189" spans="1:15" x14ac:dyDescent="0.25">
      <c r="A189" s="10" t="s">
        <v>138</v>
      </c>
      <c r="B189" s="10" t="s">
        <v>20</v>
      </c>
      <c r="C189" s="3" t="s">
        <v>28</v>
      </c>
      <c r="D189" s="3"/>
      <c r="E189" s="3" t="s">
        <v>44</v>
      </c>
      <c r="F189" s="16">
        <v>10.88</v>
      </c>
      <c r="G189" s="3">
        <v>25</v>
      </c>
      <c r="H189" s="3">
        <v>6</v>
      </c>
      <c r="I189" s="3"/>
      <c r="J189" s="3" t="s">
        <v>34</v>
      </c>
      <c r="K189" s="3">
        <v>38.345300000000002</v>
      </c>
      <c r="L189" s="3"/>
      <c r="M189" s="3" t="s">
        <v>147</v>
      </c>
      <c r="N189" s="3" t="s">
        <v>149</v>
      </c>
      <c r="O189" s="3"/>
    </row>
    <row r="190" spans="1:15" x14ac:dyDescent="0.25">
      <c r="A190" s="10" t="s">
        <v>138</v>
      </c>
      <c r="B190" s="10" t="s">
        <v>20</v>
      </c>
      <c r="C190" s="3" t="s">
        <v>28</v>
      </c>
      <c r="D190" s="3"/>
      <c r="E190" s="3" t="s">
        <v>44</v>
      </c>
      <c r="F190" s="16">
        <v>10.88</v>
      </c>
      <c r="G190" s="3">
        <v>25</v>
      </c>
      <c r="H190" s="3">
        <v>6</v>
      </c>
      <c r="I190" s="3"/>
      <c r="J190" s="3" t="s">
        <v>34</v>
      </c>
      <c r="K190" s="3">
        <v>34.548900000000003</v>
      </c>
      <c r="L190" s="3"/>
      <c r="M190" s="3" t="s">
        <v>147</v>
      </c>
      <c r="N190" s="3" t="s">
        <v>150</v>
      </c>
      <c r="O190" s="3"/>
    </row>
    <row r="191" spans="1:15" x14ac:dyDescent="0.25">
      <c r="A191" s="10" t="s">
        <v>138</v>
      </c>
      <c r="B191" s="10" t="s">
        <v>20</v>
      </c>
      <c r="C191" s="3" t="s">
        <v>28</v>
      </c>
      <c r="D191" s="3"/>
      <c r="E191" s="3" t="s">
        <v>44</v>
      </c>
      <c r="F191" s="16">
        <v>10.88</v>
      </c>
      <c r="G191" s="3">
        <v>25</v>
      </c>
      <c r="H191" s="3">
        <v>6</v>
      </c>
      <c r="I191" s="3"/>
      <c r="J191" s="3" t="s">
        <v>34</v>
      </c>
      <c r="K191" s="3">
        <v>25.263500000000001</v>
      </c>
      <c r="L191" s="3"/>
      <c r="M191" s="3" t="s">
        <v>147</v>
      </c>
      <c r="N191" s="3" t="s">
        <v>151</v>
      </c>
      <c r="O191" s="3"/>
    </row>
    <row r="192" spans="1:15" x14ac:dyDescent="0.25">
      <c r="A192" s="44" t="s">
        <v>155</v>
      </c>
      <c r="B192" s="45" t="s">
        <v>14</v>
      </c>
      <c r="C192" s="46" t="s">
        <v>30</v>
      </c>
      <c r="D192">
        <v>1.2078800000000001</v>
      </c>
      <c r="E192" s="46" t="s">
        <v>156</v>
      </c>
      <c r="F192" s="47">
        <f>(1+50)/2/1000</f>
        <v>2.5499999999999998E-2</v>
      </c>
      <c r="G192" s="46">
        <v>25</v>
      </c>
      <c r="H192" s="46">
        <v>6.8</v>
      </c>
      <c r="I192" s="47">
        <v>60</v>
      </c>
      <c r="J192" s="46" t="s">
        <v>17</v>
      </c>
      <c r="K192" s="47">
        <v>9.5</v>
      </c>
      <c r="L192" s="47"/>
      <c r="M192" s="47"/>
      <c r="N192" s="47"/>
      <c r="O192" s="47"/>
    </row>
    <row r="193" spans="1:15" x14ac:dyDescent="0.25">
      <c r="A193" s="44" t="s">
        <v>155</v>
      </c>
      <c r="B193" t="s">
        <v>20</v>
      </c>
      <c r="C193" s="3" t="s">
        <v>30</v>
      </c>
      <c r="D193" s="10">
        <v>1.55175</v>
      </c>
      <c r="E193" s="3" t="s">
        <v>156</v>
      </c>
      <c r="F193">
        <f t="shared" ref="F193:F203" si="2">(1+50)/2/1000</f>
        <v>2.5499999999999998E-2</v>
      </c>
      <c r="G193" s="3">
        <v>25</v>
      </c>
      <c r="H193" s="3">
        <v>6.8</v>
      </c>
      <c r="I193">
        <v>60</v>
      </c>
      <c r="J193" s="3" t="s">
        <v>17</v>
      </c>
      <c r="K193" s="3">
        <v>167.4</v>
      </c>
      <c r="L193" t="s">
        <v>157</v>
      </c>
    </row>
    <row r="194" spans="1:15" x14ac:dyDescent="0.25">
      <c r="A194" s="44" t="s">
        <v>155</v>
      </c>
      <c r="B194" s="48" t="s">
        <v>14</v>
      </c>
      <c r="C194" t="s">
        <v>29</v>
      </c>
      <c r="D194" s="3">
        <v>0.92286000000000001</v>
      </c>
      <c r="E194" s="3" t="s">
        <v>156</v>
      </c>
      <c r="F194">
        <f t="shared" si="2"/>
        <v>2.5499999999999998E-2</v>
      </c>
      <c r="G194" s="3">
        <v>25</v>
      </c>
      <c r="H194" s="3">
        <v>6.8</v>
      </c>
      <c r="I194">
        <v>60</v>
      </c>
      <c r="J194" s="3" t="s">
        <v>17</v>
      </c>
      <c r="K194" s="3">
        <v>6.6</v>
      </c>
    </row>
    <row r="195" spans="1:15" x14ac:dyDescent="0.25">
      <c r="A195" s="44" t="s">
        <v>155</v>
      </c>
      <c r="B195" t="s">
        <v>20</v>
      </c>
      <c r="C195" t="s">
        <v>29</v>
      </c>
      <c r="D195" s="3">
        <v>0.83792</v>
      </c>
      <c r="E195" s="3" t="s">
        <v>156</v>
      </c>
      <c r="F195">
        <f t="shared" si="2"/>
        <v>2.5499999999999998E-2</v>
      </c>
      <c r="G195" s="3">
        <v>25</v>
      </c>
      <c r="H195" s="3">
        <v>6.8</v>
      </c>
      <c r="I195">
        <v>60</v>
      </c>
      <c r="J195" s="3" t="s">
        <v>17</v>
      </c>
      <c r="K195" s="3">
        <v>35.700000000000003</v>
      </c>
      <c r="L195" t="s">
        <v>157</v>
      </c>
    </row>
    <row r="196" spans="1:15" x14ac:dyDescent="0.25">
      <c r="A196" s="44" t="s">
        <v>155</v>
      </c>
      <c r="B196" s="48" t="s">
        <v>14</v>
      </c>
      <c r="C196" s="49" t="s">
        <v>28</v>
      </c>
      <c r="D196" s="10">
        <v>0.67876999999999998</v>
      </c>
      <c r="E196" s="3" t="s">
        <v>156</v>
      </c>
      <c r="F196">
        <f t="shared" si="2"/>
        <v>2.5499999999999998E-2</v>
      </c>
      <c r="G196" s="3">
        <v>25</v>
      </c>
      <c r="H196" s="3">
        <v>6.8</v>
      </c>
      <c r="I196">
        <v>60</v>
      </c>
      <c r="J196" s="3" t="s">
        <v>17</v>
      </c>
      <c r="K196" s="49">
        <v>4.9000000000000004</v>
      </c>
      <c r="L196" s="49"/>
      <c r="M196" s="49"/>
      <c r="N196" s="49"/>
      <c r="O196" s="49"/>
    </row>
    <row r="197" spans="1:15" x14ac:dyDescent="0.25">
      <c r="A197" s="44" t="s">
        <v>155</v>
      </c>
      <c r="B197" t="s">
        <v>20</v>
      </c>
      <c r="C197" s="49" t="s">
        <v>28</v>
      </c>
      <c r="D197" s="10">
        <v>1.15927</v>
      </c>
      <c r="E197" s="3" t="s">
        <v>156</v>
      </c>
      <c r="F197">
        <f t="shared" si="2"/>
        <v>2.5499999999999998E-2</v>
      </c>
      <c r="G197" s="3">
        <v>25</v>
      </c>
      <c r="H197" s="3">
        <v>6.8</v>
      </c>
      <c r="I197">
        <v>60</v>
      </c>
      <c r="J197" s="3" t="s">
        <v>17</v>
      </c>
      <c r="K197">
        <v>44.1</v>
      </c>
      <c r="L197" t="s">
        <v>157</v>
      </c>
    </row>
    <row r="198" spans="1:15" x14ac:dyDescent="0.25">
      <c r="A198" s="44" t="s">
        <v>155</v>
      </c>
      <c r="B198" s="48" t="s">
        <v>14</v>
      </c>
      <c r="C198" s="50" t="s">
        <v>19</v>
      </c>
      <c r="D198" s="3">
        <v>1.4442999999999999</v>
      </c>
      <c r="E198" s="3" t="s">
        <v>156</v>
      </c>
      <c r="F198">
        <f t="shared" si="2"/>
        <v>2.5499999999999998E-2</v>
      </c>
      <c r="G198" s="3">
        <v>25</v>
      </c>
      <c r="H198" s="3">
        <v>6.8</v>
      </c>
      <c r="I198">
        <v>60</v>
      </c>
      <c r="J198" s="3" t="s">
        <v>17</v>
      </c>
      <c r="K198" s="49">
        <v>6.9</v>
      </c>
      <c r="L198" s="49"/>
      <c r="M198" s="49"/>
      <c r="N198" s="49"/>
      <c r="O198" s="49"/>
    </row>
    <row r="199" spans="1:15" x14ac:dyDescent="0.25">
      <c r="A199" s="44" t="s">
        <v>155</v>
      </c>
      <c r="B199" t="s">
        <v>20</v>
      </c>
      <c r="C199" s="50" t="s">
        <v>19</v>
      </c>
      <c r="D199" s="3">
        <v>1.70373</v>
      </c>
      <c r="E199" s="3" t="s">
        <v>156</v>
      </c>
      <c r="F199">
        <f t="shared" si="2"/>
        <v>2.5499999999999998E-2</v>
      </c>
      <c r="G199" s="3">
        <v>25</v>
      </c>
      <c r="H199" s="3">
        <v>6.8</v>
      </c>
      <c r="I199">
        <v>60</v>
      </c>
      <c r="J199" s="3" t="s">
        <v>17</v>
      </c>
      <c r="K199">
        <v>15.9</v>
      </c>
      <c r="L199" t="s">
        <v>157</v>
      </c>
    </row>
    <row r="200" spans="1:15" x14ac:dyDescent="0.25">
      <c r="A200" s="44" t="s">
        <v>155</v>
      </c>
      <c r="B200" s="48" t="s">
        <v>14</v>
      </c>
      <c r="C200" t="s">
        <v>18</v>
      </c>
      <c r="D200" s="3">
        <v>0.52986999999999995</v>
      </c>
      <c r="E200" s="3" t="s">
        <v>156</v>
      </c>
      <c r="F200">
        <f t="shared" si="2"/>
        <v>2.5499999999999998E-2</v>
      </c>
      <c r="G200" s="3">
        <v>25</v>
      </c>
      <c r="H200" s="3">
        <v>6.8</v>
      </c>
      <c r="I200">
        <v>60</v>
      </c>
      <c r="J200" s="3" t="s">
        <v>17</v>
      </c>
      <c r="K200">
        <v>6.8</v>
      </c>
    </row>
    <row r="201" spans="1:15" x14ac:dyDescent="0.25">
      <c r="A201" s="44" t="s">
        <v>155</v>
      </c>
      <c r="B201" t="s">
        <v>20</v>
      </c>
      <c r="C201" t="s">
        <v>18</v>
      </c>
      <c r="D201" s="3">
        <v>1.2938499999999999</v>
      </c>
      <c r="E201" s="3" t="s">
        <v>156</v>
      </c>
      <c r="F201">
        <f t="shared" si="2"/>
        <v>2.5499999999999998E-2</v>
      </c>
      <c r="G201" s="3">
        <v>25</v>
      </c>
      <c r="H201" s="3">
        <v>6.8</v>
      </c>
      <c r="I201">
        <v>60</v>
      </c>
      <c r="J201" s="3" t="s">
        <v>17</v>
      </c>
      <c r="K201">
        <v>38.200000000000003</v>
      </c>
      <c r="L201" t="s">
        <v>157</v>
      </c>
    </row>
    <row r="202" spans="1:15" x14ac:dyDescent="0.25">
      <c r="A202" s="44" t="s">
        <v>155</v>
      </c>
      <c r="B202" s="48" t="s">
        <v>14</v>
      </c>
      <c r="C202" s="47" t="s">
        <v>15</v>
      </c>
      <c r="D202" s="10">
        <v>0.19878999999999999</v>
      </c>
      <c r="E202" s="3" t="s">
        <v>156</v>
      </c>
      <c r="F202">
        <f t="shared" si="2"/>
        <v>2.5499999999999998E-2</v>
      </c>
      <c r="G202" s="3">
        <v>25</v>
      </c>
      <c r="H202" s="3">
        <v>6.8</v>
      </c>
      <c r="I202">
        <v>60</v>
      </c>
      <c r="J202" s="3" t="s">
        <v>17</v>
      </c>
      <c r="K202">
        <v>16.7</v>
      </c>
    </row>
    <row r="203" spans="1:15" x14ac:dyDescent="0.25">
      <c r="A203" s="44" t="s">
        <v>155</v>
      </c>
      <c r="B203" t="s">
        <v>20</v>
      </c>
      <c r="C203" s="47" t="s">
        <v>15</v>
      </c>
      <c r="D203" s="10">
        <v>0.48535</v>
      </c>
      <c r="E203" s="3" t="s">
        <v>156</v>
      </c>
      <c r="F203">
        <f t="shared" si="2"/>
        <v>2.5499999999999998E-2</v>
      </c>
      <c r="G203" s="3">
        <v>25</v>
      </c>
      <c r="H203" s="3">
        <v>6.8</v>
      </c>
      <c r="I203">
        <v>60</v>
      </c>
      <c r="J203" s="3" t="s">
        <v>17</v>
      </c>
      <c r="K203">
        <v>244.6</v>
      </c>
      <c r="L203" t="s">
        <v>157</v>
      </c>
    </row>
    <row r="204" spans="1:15" x14ac:dyDescent="0.25">
      <c r="A204" s="24" t="s">
        <v>158</v>
      </c>
      <c r="B204" s="24" t="s">
        <v>14</v>
      </c>
      <c r="C204" s="24" t="s">
        <v>19</v>
      </c>
      <c r="D204" s="24"/>
      <c r="E204" s="24" t="s">
        <v>26</v>
      </c>
      <c r="F204" s="24">
        <f>(2+25)/2</f>
        <v>13.5</v>
      </c>
      <c r="G204" s="24">
        <v>30</v>
      </c>
      <c r="H204" s="24">
        <v>5</v>
      </c>
      <c r="I204" s="24">
        <v>160</v>
      </c>
      <c r="J204" s="24" t="s">
        <v>17</v>
      </c>
      <c r="K204" s="24">
        <f>1.23*1000</f>
        <v>1230</v>
      </c>
      <c r="L204" s="24"/>
      <c r="M204" s="24"/>
      <c r="N204" s="24"/>
      <c r="O204" s="24"/>
    </row>
    <row r="205" spans="1:15" x14ac:dyDescent="0.25">
      <c r="A205" s="16" t="s">
        <v>159</v>
      </c>
      <c r="B205" s="16" t="s">
        <v>14</v>
      </c>
      <c r="C205" s="16" t="s">
        <v>130</v>
      </c>
      <c r="D205" s="16"/>
      <c r="E205" s="16" t="s">
        <v>26</v>
      </c>
      <c r="F205" s="16">
        <f>(0.2+15)/2</f>
        <v>7.6</v>
      </c>
      <c r="G205" s="16"/>
      <c r="H205" s="16"/>
      <c r="I205" s="16">
        <v>150</v>
      </c>
      <c r="J205" s="16" t="s">
        <v>17</v>
      </c>
      <c r="K205" s="16">
        <v>151.80199999999999</v>
      </c>
      <c r="L205" s="16"/>
      <c r="M205" s="16"/>
      <c r="N205" s="16" t="s">
        <v>160</v>
      </c>
      <c r="O205" s="16"/>
    </row>
    <row r="206" spans="1:15" x14ac:dyDescent="0.25">
      <c r="A206" s="16" t="s">
        <v>159</v>
      </c>
      <c r="B206" s="3" t="s">
        <v>20</v>
      </c>
      <c r="C206" s="16" t="s">
        <v>130</v>
      </c>
      <c r="D206" s="3"/>
      <c r="E206" s="16" t="s">
        <v>26</v>
      </c>
      <c r="F206" s="3"/>
      <c r="G206" s="3"/>
      <c r="H206" s="3"/>
      <c r="I206" s="3"/>
      <c r="J206" s="3" t="s">
        <v>17</v>
      </c>
      <c r="K206" s="3">
        <v>1045.67</v>
      </c>
      <c r="L206" s="3" t="s">
        <v>161</v>
      </c>
      <c r="M206" s="3"/>
      <c r="N206" s="3" t="s">
        <v>162</v>
      </c>
      <c r="O206" s="3"/>
    </row>
    <row r="207" spans="1:15" x14ac:dyDescent="0.25">
      <c r="A207" s="51" t="s">
        <v>163</v>
      </c>
      <c r="B207" s="54" t="s">
        <v>14</v>
      </c>
      <c r="C207" s="52" t="s">
        <v>15</v>
      </c>
      <c r="D207" s="52"/>
      <c r="E207" s="52" t="s">
        <v>26</v>
      </c>
      <c r="F207" s="52">
        <f>(0.2+15)/2</f>
        <v>7.6</v>
      </c>
      <c r="G207" s="52">
        <v>25</v>
      </c>
      <c r="H207" s="52"/>
      <c r="I207" s="52">
        <v>185</v>
      </c>
      <c r="J207" s="3" t="s">
        <v>17</v>
      </c>
      <c r="K207" s="52">
        <v>146</v>
      </c>
      <c r="L207" s="52"/>
      <c r="M207" s="52"/>
      <c r="N207" s="52"/>
      <c r="O207" s="52"/>
    </row>
    <row r="208" spans="1:15" x14ac:dyDescent="0.25">
      <c r="A208" s="51" t="s">
        <v>163</v>
      </c>
      <c r="B208" s="54" t="s">
        <v>14</v>
      </c>
      <c r="C208" s="52" t="s">
        <v>15</v>
      </c>
      <c r="D208" s="3"/>
      <c r="E208" s="3" t="s">
        <v>16</v>
      </c>
      <c r="F208" s="52">
        <f>(0.2+15)/2</f>
        <v>7.6</v>
      </c>
      <c r="G208" s="52">
        <v>25</v>
      </c>
      <c r="H208" s="52"/>
      <c r="I208" s="52">
        <v>185</v>
      </c>
      <c r="J208" s="3" t="s">
        <v>17</v>
      </c>
      <c r="K208" s="3">
        <v>136</v>
      </c>
      <c r="L208" s="3"/>
      <c r="M208" s="3"/>
      <c r="N208" s="3"/>
      <c r="O208" s="3"/>
    </row>
    <row r="209" spans="1:15" x14ac:dyDescent="0.25">
      <c r="A209" s="51" t="s">
        <v>163</v>
      </c>
      <c r="B209" s="54" t="s">
        <v>14</v>
      </c>
      <c r="C209" s="52" t="s">
        <v>15</v>
      </c>
      <c r="D209" s="3"/>
      <c r="E209" s="3" t="s">
        <v>44</v>
      </c>
      <c r="F209" s="52">
        <f>(0.2+15)/2</f>
        <v>7.6</v>
      </c>
      <c r="G209" s="52">
        <v>25</v>
      </c>
      <c r="H209" s="52"/>
      <c r="I209" s="52">
        <v>185</v>
      </c>
      <c r="J209" s="3" t="s">
        <v>17</v>
      </c>
      <c r="K209" s="3">
        <v>767</v>
      </c>
      <c r="L209" s="3"/>
      <c r="M209" s="3"/>
      <c r="N209" s="3"/>
      <c r="O209" s="3"/>
    </row>
    <row r="210" spans="1:15" x14ac:dyDescent="0.25">
      <c r="A210" s="53" t="s">
        <v>267</v>
      </c>
      <c r="B210" s="54" t="s">
        <v>14</v>
      </c>
      <c r="C210" s="54" t="s">
        <v>30</v>
      </c>
      <c r="D210" s="54"/>
      <c r="E210" s="54" t="s">
        <v>44</v>
      </c>
      <c r="F210" s="54"/>
      <c r="G210" s="54">
        <v>25</v>
      </c>
      <c r="H210" s="54">
        <v>6</v>
      </c>
      <c r="I210" s="54">
        <v>150</v>
      </c>
      <c r="J210" s="3" t="s">
        <v>17</v>
      </c>
      <c r="K210" s="54">
        <v>4930</v>
      </c>
      <c r="L210" s="54"/>
      <c r="M210" s="54"/>
      <c r="N210" s="54"/>
      <c r="O210" s="54" t="s">
        <v>164</v>
      </c>
    </row>
    <row r="211" spans="1:15" x14ac:dyDescent="0.25">
      <c r="A211" s="53" t="s">
        <v>267</v>
      </c>
      <c r="B211" s="54" t="s">
        <v>14</v>
      </c>
      <c r="C211" s="54" t="s">
        <v>30</v>
      </c>
      <c r="D211" s="54"/>
      <c r="E211" s="54" t="s">
        <v>44</v>
      </c>
      <c r="F211" s="3"/>
      <c r="G211" s="3">
        <v>35</v>
      </c>
      <c r="H211" s="54">
        <v>6</v>
      </c>
      <c r="I211" s="54">
        <v>150</v>
      </c>
      <c r="J211" s="3" t="s">
        <v>17</v>
      </c>
      <c r="K211" s="3">
        <v>4150</v>
      </c>
      <c r="L211" s="3"/>
      <c r="M211" s="3"/>
      <c r="N211" s="3"/>
      <c r="O211" s="3"/>
    </row>
    <row r="212" spans="1:15" ht="15.75" thickBot="1" x14ac:dyDescent="0.3">
      <c r="A212" s="53" t="s">
        <v>267</v>
      </c>
      <c r="B212" s="54" t="s">
        <v>14</v>
      </c>
      <c r="C212" s="54" t="s">
        <v>30</v>
      </c>
      <c r="D212" s="54"/>
      <c r="E212" s="54" t="s">
        <v>44</v>
      </c>
      <c r="F212" s="3"/>
      <c r="G212" s="3">
        <v>45</v>
      </c>
      <c r="H212" s="54">
        <v>6</v>
      </c>
      <c r="I212" s="54">
        <v>150</v>
      </c>
      <c r="J212" s="3" t="s">
        <v>17</v>
      </c>
      <c r="K212" s="3">
        <v>4740</v>
      </c>
      <c r="L212" s="3"/>
      <c r="M212" s="3"/>
      <c r="N212" s="3"/>
      <c r="O212" s="3"/>
    </row>
    <row r="213" spans="1:15" x14ac:dyDescent="0.25">
      <c r="A213" s="55" t="s">
        <v>268</v>
      </c>
      <c r="B213" s="56" t="s">
        <v>14</v>
      </c>
      <c r="C213" s="56" t="s">
        <v>28</v>
      </c>
      <c r="D213" s="56">
        <v>0.47</v>
      </c>
      <c r="E213" s="56" t="s">
        <v>16</v>
      </c>
      <c r="F213" s="56">
        <f>(0.5+40)/2</f>
        <v>20.25</v>
      </c>
      <c r="G213" s="56">
        <v>25</v>
      </c>
      <c r="H213" s="56"/>
      <c r="I213" s="56">
        <v>140</v>
      </c>
      <c r="J213" s="3" t="s">
        <v>17</v>
      </c>
      <c r="K213" s="57">
        <v>162</v>
      </c>
      <c r="L213" s="56"/>
      <c r="M213" s="56"/>
      <c r="N213" s="56" t="s">
        <v>28</v>
      </c>
      <c r="O213" s="56" t="s">
        <v>165</v>
      </c>
    </row>
    <row r="214" spans="1:15" x14ac:dyDescent="0.25">
      <c r="A214" s="55" t="s">
        <v>268</v>
      </c>
      <c r="B214" s="58" t="s">
        <v>20</v>
      </c>
      <c r="C214" s="58" t="s">
        <v>28</v>
      </c>
      <c r="D214" s="58">
        <v>0.98</v>
      </c>
      <c r="E214" s="58" t="s">
        <v>16</v>
      </c>
      <c r="F214" s="56">
        <f t="shared" ref="F214:F224" si="3">(0.5+40)/2</f>
        <v>20.25</v>
      </c>
      <c r="G214" s="56">
        <v>25</v>
      </c>
      <c r="H214" s="56"/>
      <c r="I214" s="56">
        <v>140</v>
      </c>
      <c r="J214" s="59" t="s">
        <v>17</v>
      </c>
      <c r="K214" s="60">
        <v>219</v>
      </c>
      <c r="L214" s="58" t="s">
        <v>27</v>
      </c>
      <c r="M214" s="58"/>
      <c r="N214" t="s">
        <v>166</v>
      </c>
      <c r="O214" s="58"/>
    </row>
    <row r="215" spans="1:15" x14ac:dyDescent="0.25">
      <c r="A215" s="55" t="s">
        <v>268</v>
      </c>
      <c r="B215" s="61" t="s">
        <v>20</v>
      </c>
      <c r="C215" s="61" t="s">
        <v>28</v>
      </c>
      <c r="D215" s="61">
        <v>2.79</v>
      </c>
      <c r="E215" s="61" t="s">
        <v>16</v>
      </c>
      <c r="F215" s="56">
        <f t="shared" si="3"/>
        <v>20.25</v>
      </c>
      <c r="G215" s="56">
        <v>25</v>
      </c>
      <c r="H215" s="56"/>
      <c r="I215" s="56">
        <v>140</v>
      </c>
      <c r="J215" s="62" t="s">
        <v>17</v>
      </c>
      <c r="K215" s="60">
        <v>274</v>
      </c>
      <c r="L215" s="58" t="s">
        <v>167</v>
      </c>
      <c r="M215" s="61"/>
      <c r="N215" t="s">
        <v>168</v>
      </c>
      <c r="O215" s="61"/>
    </row>
    <row r="216" spans="1:15" x14ac:dyDescent="0.25">
      <c r="A216" s="55" t="s">
        <v>268</v>
      </c>
      <c r="B216" s="56" t="s">
        <v>14</v>
      </c>
      <c r="C216" s="56" t="s">
        <v>28</v>
      </c>
      <c r="D216" s="56">
        <v>0.47</v>
      </c>
      <c r="E216" s="56" t="s">
        <v>16</v>
      </c>
      <c r="F216" s="56">
        <f t="shared" si="3"/>
        <v>20.25</v>
      </c>
      <c r="G216" s="56">
        <v>25</v>
      </c>
      <c r="H216" s="56"/>
      <c r="I216" s="56">
        <v>140</v>
      </c>
      <c r="J216" s="56" t="s">
        <v>34</v>
      </c>
      <c r="K216" s="60">
        <v>154</v>
      </c>
      <c r="L216" s="56"/>
      <c r="M216" s="56" t="s">
        <v>169</v>
      </c>
      <c r="N216" s="56" t="s">
        <v>28</v>
      </c>
      <c r="O216" s="56"/>
    </row>
    <row r="217" spans="1:15" x14ac:dyDescent="0.25">
      <c r="A217" s="55" t="s">
        <v>268</v>
      </c>
      <c r="B217" s="58" t="s">
        <v>20</v>
      </c>
      <c r="C217" s="58" t="s">
        <v>28</v>
      </c>
      <c r="D217" s="58">
        <v>0.98</v>
      </c>
      <c r="E217" s="56" t="s">
        <v>16</v>
      </c>
      <c r="F217" s="56">
        <f t="shared" si="3"/>
        <v>20.25</v>
      </c>
      <c r="G217" s="56">
        <v>25</v>
      </c>
      <c r="H217" s="56"/>
      <c r="I217" s="56">
        <v>140</v>
      </c>
      <c r="J217" s="56" t="s">
        <v>34</v>
      </c>
      <c r="K217" s="60">
        <v>246</v>
      </c>
      <c r="L217" s="58" t="s">
        <v>27</v>
      </c>
      <c r="M217" s="56" t="s">
        <v>169</v>
      </c>
      <c r="N217" t="s">
        <v>166</v>
      </c>
      <c r="O217" s="56"/>
    </row>
    <row r="218" spans="1:15" x14ac:dyDescent="0.25">
      <c r="A218" s="55" t="s">
        <v>268</v>
      </c>
      <c r="B218" s="61" t="s">
        <v>20</v>
      </c>
      <c r="C218" s="61" t="s">
        <v>28</v>
      </c>
      <c r="D218" s="61">
        <v>2.79</v>
      </c>
      <c r="E218" s="56" t="s">
        <v>16</v>
      </c>
      <c r="F218" s="56">
        <f t="shared" si="3"/>
        <v>20.25</v>
      </c>
      <c r="G218" s="56">
        <v>25</v>
      </c>
      <c r="H218" s="56"/>
      <c r="I218" s="56">
        <v>140</v>
      </c>
      <c r="J218" s="56" t="s">
        <v>34</v>
      </c>
      <c r="K218" s="60">
        <v>290</v>
      </c>
      <c r="L218" s="58" t="s">
        <v>167</v>
      </c>
      <c r="M218" s="56" t="s">
        <v>169</v>
      </c>
      <c r="N218" t="s">
        <v>168</v>
      </c>
      <c r="O218" s="56"/>
    </row>
    <row r="219" spans="1:15" x14ac:dyDescent="0.25">
      <c r="A219" s="55" t="s">
        <v>268</v>
      </c>
      <c r="B219" s="56" t="s">
        <v>14</v>
      </c>
      <c r="C219" s="56" t="s">
        <v>29</v>
      </c>
      <c r="D219" s="56">
        <v>0.17</v>
      </c>
      <c r="E219" s="56" t="s">
        <v>16</v>
      </c>
      <c r="F219" s="56">
        <f t="shared" si="3"/>
        <v>20.25</v>
      </c>
      <c r="G219" s="56">
        <v>25</v>
      </c>
      <c r="H219" s="56"/>
      <c r="I219" s="56">
        <v>140</v>
      </c>
      <c r="J219" s="3" t="s">
        <v>17</v>
      </c>
      <c r="K219" s="60">
        <v>197</v>
      </c>
      <c r="L219" s="56"/>
      <c r="M219" s="56"/>
      <c r="N219" t="s">
        <v>29</v>
      </c>
      <c r="O219" s="56"/>
    </row>
    <row r="220" spans="1:15" x14ac:dyDescent="0.25">
      <c r="A220" s="55" t="s">
        <v>268</v>
      </c>
      <c r="B220" s="58" t="s">
        <v>20</v>
      </c>
      <c r="C220" s="56" t="s">
        <v>29</v>
      </c>
      <c r="D220" s="58">
        <v>1.01</v>
      </c>
      <c r="E220" s="58" t="s">
        <v>16</v>
      </c>
      <c r="F220" s="56">
        <f t="shared" si="3"/>
        <v>20.25</v>
      </c>
      <c r="G220" s="56">
        <v>25</v>
      </c>
      <c r="H220" s="56"/>
      <c r="I220" s="56">
        <v>140</v>
      </c>
      <c r="J220" s="59" t="s">
        <v>17</v>
      </c>
      <c r="K220" s="60">
        <v>252</v>
      </c>
      <c r="L220" s="58" t="s">
        <v>27</v>
      </c>
      <c r="M220" s="58"/>
      <c r="N220" t="s">
        <v>170</v>
      </c>
    </row>
    <row r="221" spans="1:15" x14ac:dyDescent="0.25">
      <c r="A221" s="55" t="s">
        <v>268</v>
      </c>
      <c r="B221" s="61" t="s">
        <v>20</v>
      </c>
      <c r="C221" s="56" t="s">
        <v>29</v>
      </c>
      <c r="D221" s="61">
        <v>2.56</v>
      </c>
      <c r="E221" s="61" t="s">
        <v>16</v>
      </c>
      <c r="F221" s="56">
        <f t="shared" si="3"/>
        <v>20.25</v>
      </c>
      <c r="G221" s="56">
        <v>25</v>
      </c>
      <c r="H221" s="56"/>
      <c r="I221" s="56">
        <v>140</v>
      </c>
      <c r="J221" s="62" t="s">
        <v>17</v>
      </c>
      <c r="K221" s="60">
        <v>379</v>
      </c>
      <c r="L221" s="58" t="s">
        <v>167</v>
      </c>
      <c r="M221" s="61"/>
      <c r="N221" s="56" t="s">
        <v>171</v>
      </c>
    </row>
    <row r="222" spans="1:15" x14ac:dyDescent="0.25">
      <c r="A222" s="55" t="s">
        <v>268</v>
      </c>
      <c r="B222" s="56" t="s">
        <v>14</v>
      </c>
      <c r="C222" s="56" t="s">
        <v>29</v>
      </c>
      <c r="D222" s="56">
        <v>0.17</v>
      </c>
      <c r="E222" s="56" t="s">
        <v>16</v>
      </c>
      <c r="F222" s="56">
        <f t="shared" si="3"/>
        <v>20.25</v>
      </c>
      <c r="G222" s="56">
        <v>25</v>
      </c>
      <c r="H222" s="56"/>
      <c r="I222" s="56">
        <v>140</v>
      </c>
      <c r="J222" s="56" t="s">
        <v>34</v>
      </c>
      <c r="K222" s="60">
        <v>200</v>
      </c>
      <c r="L222" s="56"/>
      <c r="M222" s="56" t="s">
        <v>169</v>
      </c>
      <c r="N222" t="s">
        <v>29</v>
      </c>
    </row>
    <row r="223" spans="1:15" x14ac:dyDescent="0.25">
      <c r="A223" s="55" t="s">
        <v>268</v>
      </c>
      <c r="B223" s="58" t="s">
        <v>20</v>
      </c>
      <c r="C223" s="56" t="s">
        <v>29</v>
      </c>
      <c r="D223" s="58">
        <v>1.01</v>
      </c>
      <c r="E223" s="56" t="s">
        <v>16</v>
      </c>
      <c r="F223" s="56">
        <f t="shared" si="3"/>
        <v>20.25</v>
      </c>
      <c r="G223" s="56">
        <v>25</v>
      </c>
      <c r="H223" s="56"/>
      <c r="I223" s="56">
        <v>140</v>
      </c>
      <c r="J223" s="56" t="s">
        <v>34</v>
      </c>
      <c r="K223" s="60">
        <v>313</v>
      </c>
      <c r="L223" s="58" t="s">
        <v>27</v>
      </c>
      <c r="M223" s="56" t="s">
        <v>169</v>
      </c>
      <c r="N223" t="s">
        <v>170</v>
      </c>
    </row>
    <row r="224" spans="1:15" ht="15.75" thickBot="1" x14ac:dyDescent="0.3">
      <c r="A224" s="55" t="s">
        <v>268</v>
      </c>
      <c r="B224" s="56" t="s">
        <v>20</v>
      </c>
      <c r="C224" s="56" t="s">
        <v>29</v>
      </c>
      <c r="D224" s="61">
        <v>2.56</v>
      </c>
      <c r="E224" s="56" t="s">
        <v>16</v>
      </c>
      <c r="F224" s="56">
        <f t="shared" si="3"/>
        <v>20.25</v>
      </c>
      <c r="G224" s="56">
        <v>25</v>
      </c>
      <c r="H224" s="56"/>
      <c r="I224" s="56">
        <v>140</v>
      </c>
      <c r="J224" s="56" t="s">
        <v>34</v>
      </c>
      <c r="K224" s="63">
        <v>392</v>
      </c>
      <c r="L224" s="56" t="s">
        <v>167</v>
      </c>
      <c r="M224" s="56" t="s">
        <v>169</v>
      </c>
      <c r="N224" s="56" t="s">
        <v>171</v>
      </c>
      <c r="O224" s="56"/>
    </row>
    <row r="225" spans="1:15" x14ac:dyDescent="0.25">
      <c r="A225" s="64" t="s">
        <v>172</v>
      </c>
      <c r="B225" s="65" t="s">
        <v>20</v>
      </c>
      <c r="C225" t="s">
        <v>173</v>
      </c>
      <c r="D225" s="65">
        <v>0.26300000000000001</v>
      </c>
      <c r="E225" s="65" t="s">
        <v>16</v>
      </c>
      <c r="F225" s="65"/>
      <c r="G225" s="65">
        <v>25</v>
      </c>
      <c r="H225" s="65"/>
      <c r="I225" s="65">
        <v>180</v>
      </c>
      <c r="J225" s="65" t="s">
        <v>17</v>
      </c>
      <c r="K225" s="65">
        <v>3880</v>
      </c>
      <c r="L225" s="65" t="s">
        <v>27</v>
      </c>
      <c r="M225" s="65"/>
      <c r="N225" s="65"/>
      <c r="O225" s="65"/>
    </row>
    <row r="226" spans="1:15" x14ac:dyDescent="0.25">
      <c r="A226" s="64" t="s">
        <v>172</v>
      </c>
      <c r="B226" s="65" t="s">
        <v>20</v>
      </c>
      <c r="C226" t="s">
        <v>173</v>
      </c>
      <c r="D226" s="65">
        <v>0.26300000000000001</v>
      </c>
      <c r="E226" s="65" t="s">
        <v>16</v>
      </c>
      <c r="F226" s="65"/>
      <c r="G226" s="65">
        <v>35</v>
      </c>
      <c r="H226" s="65"/>
      <c r="I226" s="65">
        <v>180</v>
      </c>
      <c r="J226" s="65" t="s">
        <v>17</v>
      </c>
      <c r="K226" s="65">
        <v>7120</v>
      </c>
      <c r="L226" s="65" t="s">
        <v>27</v>
      </c>
      <c r="M226" s="65"/>
      <c r="N226" s="65"/>
      <c r="O226" s="65"/>
    </row>
    <row r="227" spans="1:15" x14ac:dyDescent="0.25">
      <c r="A227" s="64" t="s">
        <v>172</v>
      </c>
      <c r="B227" s="65" t="s">
        <v>20</v>
      </c>
      <c r="C227" t="s">
        <v>173</v>
      </c>
      <c r="D227" s="65">
        <v>0.26300000000000001</v>
      </c>
      <c r="E227" s="65" t="s">
        <v>16</v>
      </c>
      <c r="F227" s="65"/>
      <c r="G227" s="65">
        <v>45</v>
      </c>
      <c r="H227" s="65"/>
      <c r="I227" s="65">
        <v>180</v>
      </c>
      <c r="J227" s="65" t="s">
        <v>17</v>
      </c>
      <c r="K227" s="65">
        <v>10100</v>
      </c>
      <c r="L227" s="65" t="s">
        <v>27</v>
      </c>
      <c r="M227" s="65"/>
      <c r="N227" s="65"/>
      <c r="O227" s="65"/>
    </row>
    <row r="228" spans="1:15" x14ac:dyDescent="0.25">
      <c r="A228" s="66" t="s">
        <v>270</v>
      </c>
      <c r="B228" s="67" t="s">
        <v>14</v>
      </c>
      <c r="C228" s="67" t="s">
        <v>18</v>
      </c>
      <c r="D228" s="67"/>
      <c r="E228" s="67" t="s">
        <v>26</v>
      </c>
      <c r="F228" s="67">
        <f>(5+200)/2</f>
        <v>102.5</v>
      </c>
      <c r="G228" s="67">
        <v>25</v>
      </c>
      <c r="H228" s="67"/>
      <c r="I228" s="67">
        <v>200</v>
      </c>
      <c r="J228" s="67" t="s">
        <v>17</v>
      </c>
      <c r="K228">
        <v>11.01</v>
      </c>
      <c r="L228" s="67"/>
      <c r="M228" s="67"/>
      <c r="N228" s="67" t="s">
        <v>174</v>
      </c>
      <c r="O228" s="67" t="s">
        <v>175</v>
      </c>
    </row>
    <row r="229" spans="1:15" x14ac:dyDescent="0.25">
      <c r="A229" s="66" t="s">
        <v>270</v>
      </c>
      <c r="B229" s="67" t="s">
        <v>20</v>
      </c>
      <c r="C229" s="67" t="s">
        <v>18</v>
      </c>
      <c r="D229" s="67"/>
      <c r="E229" s="67" t="s">
        <v>26</v>
      </c>
      <c r="F229" s="67">
        <f t="shared" ref="F229:F238" si="4">(5+200)/2</f>
        <v>102.5</v>
      </c>
      <c r="G229" s="67">
        <v>25</v>
      </c>
      <c r="H229" s="67"/>
      <c r="I229" s="67">
        <v>200</v>
      </c>
      <c r="J229" s="67" t="s">
        <v>17</v>
      </c>
      <c r="K229">
        <v>6.85</v>
      </c>
      <c r="L229" s="67" t="s">
        <v>176</v>
      </c>
      <c r="M229" s="67"/>
      <c r="N229" s="67" t="s">
        <v>177</v>
      </c>
      <c r="O229" s="67"/>
    </row>
    <row r="230" spans="1:15" x14ac:dyDescent="0.25">
      <c r="A230" s="66" t="s">
        <v>270</v>
      </c>
      <c r="B230" s="67" t="s">
        <v>20</v>
      </c>
      <c r="C230" s="67" t="s">
        <v>18</v>
      </c>
      <c r="D230" s="67"/>
      <c r="E230" s="67" t="s">
        <v>26</v>
      </c>
      <c r="F230" s="67">
        <f t="shared" si="4"/>
        <v>102.5</v>
      </c>
      <c r="G230" s="67">
        <v>25</v>
      </c>
      <c r="H230" s="67"/>
      <c r="I230" s="67">
        <v>200</v>
      </c>
      <c r="J230" s="67" t="s">
        <v>17</v>
      </c>
      <c r="K230">
        <v>2.73</v>
      </c>
      <c r="L230" s="67" t="s">
        <v>176</v>
      </c>
      <c r="M230" s="67"/>
      <c r="N230" s="67" t="s">
        <v>178</v>
      </c>
      <c r="O230" s="67"/>
    </row>
    <row r="231" spans="1:15" x14ac:dyDescent="0.25">
      <c r="A231" s="66" t="s">
        <v>270</v>
      </c>
      <c r="B231" s="67" t="s">
        <v>20</v>
      </c>
      <c r="C231" s="67" t="s">
        <v>18</v>
      </c>
      <c r="D231" s="67"/>
      <c r="E231" s="67" t="s">
        <v>26</v>
      </c>
      <c r="F231" s="67">
        <f t="shared" si="4"/>
        <v>102.5</v>
      </c>
      <c r="G231" s="67">
        <v>25</v>
      </c>
      <c r="H231" s="67"/>
      <c r="I231" s="67">
        <v>200</v>
      </c>
      <c r="J231" s="67" t="s">
        <v>17</v>
      </c>
      <c r="K231">
        <v>1.35</v>
      </c>
      <c r="L231" s="67" t="s">
        <v>176</v>
      </c>
      <c r="M231" s="67"/>
      <c r="N231" s="67" t="s">
        <v>179</v>
      </c>
      <c r="O231" s="67"/>
    </row>
    <row r="232" spans="1:15" x14ac:dyDescent="0.25">
      <c r="A232" s="66" t="s">
        <v>270</v>
      </c>
      <c r="B232" s="67" t="s">
        <v>20</v>
      </c>
      <c r="C232" s="67" t="s">
        <v>18</v>
      </c>
      <c r="D232" s="67"/>
      <c r="E232" s="67" t="s">
        <v>26</v>
      </c>
      <c r="F232" s="67">
        <f t="shared" si="4"/>
        <v>102.5</v>
      </c>
      <c r="G232" s="67">
        <v>25</v>
      </c>
      <c r="H232" s="67"/>
      <c r="I232" s="67">
        <v>200</v>
      </c>
      <c r="J232" s="67" t="s">
        <v>17</v>
      </c>
      <c r="K232">
        <v>2.19</v>
      </c>
      <c r="L232" s="67" t="s">
        <v>176</v>
      </c>
      <c r="M232" s="67"/>
      <c r="N232" s="67" t="s">
        <v>180</v>
      </c>
      <c r="O232" s="67"/>
    </row>
    <row r="233" spans="1:15" x14ac:dyDescent="0.25">
      <c r="A233" s="66" t="s">
        <v>270</v>
      </c>
      <c r="B233" s="68" t="s">
        <v>14</v>
      </c>
      <c r="C233" s="68" t="s">
        <v>19</v>
      </c>
      <c r="D233" s="68"/>
      <c r="E233" s="67" t="s">
        <v>26</v>
      </c>
      <c r="F233" s="67">
        <f t="shared" si="4"/>
        <v>102.5</v>
      </c>
      <c r="G233" s="67">
        <v>25</v>
      </c>
      <c r="H233" s="67"/>
      <c r="I233" s="67">
        <v>200</v>
      </c>
      <c r="J233" s="68" t="s">
        <v>17</v>
      </c>
      <c r="K233">
        <v>9</v>
      </c>
      <c r="L233" s="68"/>
      <c r="M233" s="68"/>
      <c r="N233" s="68" t="s">
        <v>181</v>
      </c>
      <c r="O233" s="68"/>
    </row>
    <row r="234" spans="1:15" x14ac:dyDescent="0.25">
      <c r="A234" s="66" t="s">
        <v>270</v>
      </c>
      <c r="B234" s="68" t="s">
        <v>20</v>
      </c>
      <c r="C234" s="68" t="s">
        <v>19</v>
      </c>
      <c r="D234" s="68"/>
      <c r="E234" s="67" t="s">
        <v>26</v>
      </c>
      <c r="F234" s="67">
        <f t="shared" si="4"/>
        <v>102.5</v>
      </c>
      <c r="G234" s="67">
        <v>25</v>
      </c>
      <c r="H234" s="67"/>
      <c r="I234" s="67">
        <v>200</v>
      </c>
      <c r="J234" s="68" t="s">
        <v>17</v>
      </c>
      <c r="K234">
        <v>6.34</v>
      </c>
      <c r="L234" s="68" t="s">
        <v>176</v>
      </c>
      <c r="M234" s="68"/>
      <c r="N234" s="68" t="s">
        <v>182</v>
      </c>
      <c r="O234" s="68"/>
    </row>
    <row r="235" spans="1:15" x14ac:dyDescent="0.25">
      <c r="A235" s="66" t="s">
        <v>270</v>
      </c>
      <c r="B235" s="68" t="s">
        <v>20</v>
      </c>
      <c r="C235" s="68" t="s">
        <v>19</v>
      </c>
      <c r="D235" s="68"/>
      <c r="E235" s="67" t="s">
        <v>26</v>
      </c>
      <c r="F235" s="67">
        <f t="shared" si="4"/>
        <v>102.5</v>
      </c>
      <c r="G235" s="67">
        <v>25</v>
      </c>
      <c r="H235" s="67"/>
      <c r="I235" s="67">
        <v>200</v>
      </c>
      <c r="J235" s="68" t="s">
        <v>17</v>
      </c>
      <c r="K235">
        <v>5.46</v>
      </c>
      <c r="L235" s="68" t="s">
        <v>176</v>
      </c>
      <c r="M235" s="68"/>
      <c r="N235" s="68" t="s">
        <v>183</v>
      </c>
      <c r="O235" s="68"/>
    </row>
    <row r="236" spans="1:15" x14ac:dyDescent="0.25">
      <c r="A236" s="66" t="s">
        <v>270</v>
      </c>
      <c r="B236" s="68" t="s">
        <v>20</v>
      </c>
      <c r="C236" s="68" t="s">
        <v>19</v>
      </c>
      <c r="D236" s="68"/>
      <c r="E236" s="67" t="s">
        <v>26</v>
      </c>
      <c r="F236" s="67">
        <f t="shared" si="4"/>
        <v>102.5</v>
      </c>
      <c r="G236" s="67">
        <v>25</v>
      </c>
      <c r="H236" s="67"/>
      <c r="I236" s="67">
        <v>200</v>
      </c>
      <c r="J236" s="68" t="s">
        <v>17</v>
      </c>
      <c r="K236">
        <v>2.2599999999999998</v>
      </c>
      <c r="L236" s="68" t="s">
        <v>176</v>
      </c>
      <c r="M236" s="68"/>
      <c r="N236" s="68" t="s">
        <v>184</v>
      </c>
      <c r="O236" s="68"/>
    </row>
    <row r="237" spans="1:15" x14ac:dyDescent="0.25">
      <c r="A237" s="66" t="s">
        <v>270</v>
      </c>
      <c r="B237" s="68" t="s">
        <v>20</v>
      </c>
      <c r="C237" s="68" t="s">
        <v>19</v>
      </c>
      <c r="D237" s="68"/>
      <c r="E237" s="67" t="s">
        <v>26</v>
      </c>
      <c r="F237" s="67">
        <f t="shared" si="4"/>
        <v>102.5</v>
      </c>
      <c r="G237" s="67">
        <v>25</v>
      </c>
      <c r="H237" s="67"/>
      <c r="I237" s="67">
        <v>200</v>
      </c>
      <c r="J237" s="68" t="s">
        <v>17</v>
      </c>
      <c r="K237">
        <v>1.87</v>
      </c>
      <c r="L237" s="68" t="s">
        <v>176</v>
      </c>
      <c r="M237" s="68"/>
      <c r="N237" s="68" t="s">
        <v>185</v>
      </c>
      <c r="O237" s="68"/>
    </row>
    <row r="238" spans="1:15" x14ac:dyDescent="0.25">
      <c r="A238" s="66" t="s">
        <v>270</v>
      </c>
      <c r="B238" s="68" t="s">
        <v>20</v>
      </c>
      <c r="C238" s="68" t="s">
        <v>19</v>
      </c>
      <c r="D238" s="68"/>
      <c r="E238" s="67" t="s">
        <v>26</v>
      </c>
      <c r="F238" s="67">
        <f t="shared" si="4"/>
        <v>102.5</v>
      </c>
      <c r="G238" s="67">
        <v>25</v>
      </c>
      <c r="H238" s="67"/>
      <c r="I238" s="67">
        <v>200</v>
      </c>
      <c r="J238" s="68" t="s">
        <v>17</v>
      </c>
      <c r="K238">
        <v>1.05</v>
      </c>
      <c r="L238" s="68" t="s">
        <v>176</v>
      </c>
      <c r="M238" s="68"/>
      <c r="N238" s="68" t="s">
        <v>186</v>
      </c>
      <c r="O238" s="68"/>
    </row>
    <row r="239" spans="1:15" x14ac:dyDescent="0.25">
      <c r="A239" s="69" t="s">
        <v>269</v>
      </c>
      <c r="B239" s="70" t="s">
        <v>20</v>
      </c>
      <c r="C239" s="70" t="s">
        <v>28</v>
      </c>
      <c r="D239" s="70"/>
      <c r="E239" s="70" t="s">
        <v>26</v>
      </c>
      <c r="F239" s="70">
        <f>(21/2)</f>
        <v>10.5</v>
      </c>
      <c r="G239" s="70">
        <v>25</v>
      </c>
      <c r="H239" s="70"/>
      <c r="I239" s="70">
        <v>150</v>
      </c>
      <c r="J239" s="70" t="s">
        <v>17</v>
      </c>
      <c r="K239" s="70">
        <v>8840</v>
      </c>
      <c r="L239" s="68" t="s">
        <v>27</v>
      </c>
      <c r="M239" s="70"/>
      <c r="N239" s="70" t="s">
        <v>187</v>
      </c>
      <c r="O239" s="70" t="s">
        <v>188</v>
      </c>
    </row>
    <row r="240" spans="1:15" x14ac:dyDescent="0.25">
      <c r="A240" s="69" t="s">
        <v>269</v>
      </c>
      <c r="B240" s="68" t="s">
        <v>20</v>
      </c>
      <c r="C240" s="68" t="s">
        <v>28</v>
      </c>
      <c r="D240" s="71"/>
      <c r="E240" s="70" t="s">
        <v>26</v>
      </c>
      <c r="F240" s="70">
        <f t="shared" ref="F240:F244" si="5">(21/2)</f>
        <v>10.5</v>
      </c>
      <c r="G240" s="70">
        <v>25</v>
      </c>
      <c r="H240" s="70"/>
      <c r="I240" s="70">
        <v>150</v>
      </c>
      <c r="J240" s="71" t="s">
        <v>34</v>
      </c>
      <c r="K240" s="70">
        <v>5010</v>
      </c>
      <c r="L240" s="68" t="s">
        <v>27</v>
      </c>
      <c r="M240" s="71"/>
      <c r="N240" s="71" t="s">
        <v>189</v>
      </c>
      <c r="O240" s="71"/>
    </row>
    <row r="241" spans="1:15" x14ac:dyDescent="0.25">
      <c r="A241" s="69" t="s">
        <v>269</v>
      </c>
      <c r="B241" s="68" t="s">
        <v>20</v>
      </c>
      <c r="C241" s="71" t="s">
        <v>30</v>
      </c>
      <c r="D241" s="71"/>
      <c r="E241" s="70" t="s">
        <v>26</v>
      </c>
      <c r="F241" s="70">
        <f t="shared" si="5"/>
        <v>10.5</v>
      </c>
      <c r="G241" s="70">
        <v>25</v>
      </c>
      <c r="H241" s="70"/>
      <c r="I241" s="70">
        <v>150</v>
      </c>
      <c r="J241" s="71" t="s">
        <v>17</v>
      </c>
      <c r="K241" s="70">
        <v>5360</v>
      </c>
      <c r="L241" s="68" t="s">
        <v>27</v>
      </c>
      <c r="M241" s="71"/>
      <c r="N241" s="71" t="s">
        <v>190</v>
      </c>
      <c r="O241" s="71"/>
    </row>
    <row r="242" spans="1:15" x14ac:dyDescent="0.25">
      <c r="A242" s="69" t="s">
        <v>269</v>
      </c>
      <c r="B242" s="68" t="s">
        <v>20</v>
      </c>
      <c r="C242" s="71" t="s">
        <v>30</v>
      </c>
      <c r="D242" s="71"/>
      <c r="E242" s="70" t="s">
        <v>26</v>
      </c>
      <c r="F242" s="70">
        <f t="shared" si="5"/>
        <v>10.5</v>
      </c>
      <c r="G242" s="70">
        <v>25</v>
      </c>
      <c r="H242" s="70"/>
      <c r="I242" s="70">
        <v>150</v>
      </c>
      <c r="J242" s="71" t="s">
        <v>34</v>
      </c>
      <c r="K242" s="70">
        <v>7330</v>
      </c>
      <c r="L242" s="68" t="s">
        <v>27</v>
      </c>
      <c r="M242" s="71"/>
      <c r="N242" s="71" t="s">
        <v>191</v>
      </c>
      <c r="O242" s="71"/>
    </row>
    <row r="243" spans="1:15" x14ac:dyDescent="0.25">
      <c r="A243" s="69" t="s">
        <v>269</v>
      </c>
      <c r="B243" s="68" t="s">
        <v>20</v>
      </c>
      <c r="C243" s="68" t="s">
        <v>28</v>
      </c>
      <c r="D243" s="71"/>
      <c r="E243" s="70" t="s">
        <v>113</v>
      </c>
      <c r="F243" s="70">
        <f t="shared" si="5"/>
        <v>10.5</v>
      </c>
      <c r="G243" s="70">
        <v>25</v>
      </c>
      <c r="H243" s="70"/>
      <c r="I243" s="70">
        <v>150</v>
      </c>
      <c r="J243" s="71" t="s">
        <v>34</v>
      </c>
      <c r="K243" s="3">
        <v>3080</v>
      </c>
      <c r="L243" s="68" t="s">
        <v>27</v>
      </c>
      <c r="M243" s="3"/>
      <c r="N243" s="3" t="s">
        <v>192</v>
      </c>
      <c r="O243" s="3"/>
    </row>
    <row r="244" spans="1:15" x14ac:dyDescent="0.25">
      <c r="A244" s="69" t="s">
        <v>269</v>
      </c>
      <c r="B244" s="68" t="s">
        <v>20</v>
      </c>
      <c r="C244" s="71" t="s">
        <v>30</v>
      </c>
      <c r="D244" s="71"/>
      <c r="E244" s="70" t="s">
        <v>113</v>
      </c>
      <c r="F244" s="70">
        <f t="shared" si="5"/>
        <v>10.5</v>
      </c>
      <c r="G244" s="70">
        <v>25</v>
      </c>
      <c r="H244" s="70"/>
      <c r="I244" s="70">
        <v>150</v>
      </c>
      <c r="J244" s="71" t="s">
        <v>34</v>
      </c>
      <c r="K244" s="3">
        <v>2520</v>
      </c>
      <c r="L244" s="68" t="s">
        <v>27</v>
      </c>
      <c r="M244" s="3"/>
      <c r="N244" s="3" t="s">
        <v>193</v>
      </c>
      <c r="O244" s="3"/>
    </row>
    <row r="245" spans="1:15" x14ac:dyDescent="0.25">
      <c r="A245" s="72" t="s">
        <v>194</v>
      </c>
      <c r="B245" s="73" t="s">
        <v>20</v>
      </c>
      <c r="C245" s="73" t="s">
        <v>15</v>
      </c>
      <c r="D245" s="73"/>
      <c r="E245" s="73" t="s">
        <v>156</v>
      </c>
      <c r="F245" s="73">
        <f>(0.5+20)/2/1000</f>
        <v>1.025E-2</v>
      </c>
      <c r="G245" s="73"/>
      <c r="H245" s="73"/>
      <c r="I245" s="73">
        <v>200</v>
      </c>
      <c r="J245" s="76" t="s">
        <v>17</v>
      </c>
      <c r="K245" s="73">
        <v>11.8</v>
      </c>
      <c r="L245" s="73" t="s">
        <v>195</v>
      </c>
      <c r="M245" s="73"/>
      <c r="N245" s="73"/>
      <c r="O245" s="73"/>
    </row>
    <row r="246" spans="1:15" x14ac:dyDescent="0.25">
      <c r="A246" s="72" t="s">
        <v>194</v>
      </c>
      <c r="B246" s="73" t="s">
        <v>20</v>
      </c>
      <c r="C246" s="74" t="s">
        <v>19</v>
      </c>
      <c r="D246" s="73"/>
      <c r="E246" s="73" t="s">
        <v>156</v>
      </c>
      <c r="F246" s="73">
        <f t="shared" ref="F246:F249" si="6">(0.5+20)/2/1000</f>
        <v>1.025E-2</v>
      </c>
      <c r="G246" s="73"/>
      <c r="H246" s="73"/>
      <c r="I246" s="73">
        <v>200</v>
      </c>
      <c r="J246" s="76" t="s">
        <v>17</v>
      </c>
      <c r="K246" s="74">
        <v>8.3000000000000007</v>
      </c>
      <c r="L246" s="73" t="s">
        <v>195</v>
      </c>
      <c r="M246" s="74"/>
      <c r="N246" s="74"/>
      <c r="O246" s="74"/>
    </row>
    <row r="247" spans="1:15" x14ac:dyDescent="0.25">
      <c r="A247" s="72" t="s">
        <v>194</v>
      </c>
      <c r="B247" s="73" t="s">
        <v>20</v>
      </c>
      <c r="C247" s="74" t="s">
        <v>29</v>
      </c>
      <c r="D247" s="73"/>
      <c r="E247" s="73" t="s">
        <v>156</v>
      </c>
      <c r="F247" s="73">
        <f t="shared" si="6"/>
        <v>1.025E-2</v>
      </c>
      <c r="G247" s="73"/>
      <c r="H247" s="73"/>
      <c r="I247" s="73">
        <v>200</v>
      </c>
      <c r="J247" s="76" t="s">
        <v>17</v>
      </c>
      <c r="K247" s="74">
        <v>7.6</v>
      </c>
      <c r="L247" s="73" t="s">
        <v>195</v>
      </c>
      <c r="M247" s="74"/>
      <c r="N247" s="74"/>
      <c r="O247" s="74"/>
    </row>
    <row r="248" spans="1:15" x14ac:dyDescent="0.25">
      <c r="A248" s="72" t="s">
        <v>194</v>
      </c>
      <c r="B248" s="73" t="s">
        <v>20</v>
      </c>
      <c r="C248" s="74" t="s">
        <v>30</v>
      </c>
      <c r="D248" s="73"/>
      <c r="E248" s="73" t="s">
        <v>156</v>
      </c>
      <c r="F248" s="73">
        <f t="shared" si="6"/>
        <v>1.025E-2</v>
      </c>
      <c r="G248" s="73"/>
      <c r="H248" s="73"/>
      <c r="I248" s="73">
        <v>200</v>
      </c>
      <c r="J248" s="76" t="s">
        <v>17</v>
      </c>
      <c r="K248" s="73">
        <v>8.6999999999999993</v>
      </c>
      <c r="L248" s="73" t="s">
        <v>195</v>
      </c>
      <c r="M248" s="74"/>
      <c r="N248" s="74"/>
      <c r="O248" s="74"/>
    </row>
    <row r="249" spans="1:15" x14ac:dyDescent="0.25">
      <c r="A249" s="72" t="s">
        <v>194</v>
      </c>
      <c r="B249" s="73" t="s">
        <v>20</v>
      </c>
      <c r="C249" s="74" t="s">
        <v>130</v>
      </c>
      <c r="D249" s="73"/>
      <c r="E249" s="73" t="s">
        <v>156</v>
      </c>
      <c r="F249" s="73">
        <f t="shared" si="6"/>
        <v>1.025E-2</v>
      </c>
      <c r="G249" s="73"/>
      <c r="H249" s="73"/>
      <c r="I249" s="73">
        <v>200</v>
      </c>
      <c r="J249" s="76" t="s">
        <v>17</v>
      </c>
      <c r="K249" s="73">
        <v>11.4</v>
      </c>
      <c r="L249" s="73" t="s">
        <v>195</v>
      </c>
      <c r="M249" s="74"/>
      <c r="N249" s="74"/>
      <c r="O249" s="74"/>
    </row>
    <row r="250" spans="1:15" x14ac:dyDescent="0.25">
      <c r="A250" s="75" t="s">
        <v>196</v>
      </c>
      <c r="B250" s="76" t="s">
        <v>14</v>
      </c>
      <c r="C250" s="76" t="s">
        <v>130</v>
      </c>
      <c r="D250" s="76">
        <v>4.91</v>
      </c>
      <c r="E250" s="76" t="s">
        <v>44</v>
      </c>
      <c r="F250" s="76">
        <f>31/2</f>
        <v>15.5</v>
      </c>
      <c r="G250" s="76">
        <v>25</v>
      </c>
      <c r="H250" s="76">
        <v>5</v>
      </c>
      <c r="I250" s="76"/>
      <c r="J250" s="76" t="s">
        <v>17</v>
      </c>
      <c r="K250" s="76">
        <v>1173</v>
      </c>
      <c r="L250" s="76"/>
      <c r="M250" s="76"/>
      <c r="N250" s="76"/>
      <c r="O250" s="76"/>
    </row>
    <row r="251" spans="1:15" x14ac:dyDescent="0.25">
      <c r="A251" s="75" t="s">
        <v>196</v>
      </c>
      <c r="B251" s="77" t="s">
        <v>20</v>
      </c>
      <c r="C251" s="77" t="s">
        <v>130</v>
      </c>
      <c r="D251" s="77">
        <v>15.37</v>
      </c>
      <c r="E251" s="76" t="s">
        <v>44</v>
      </c>
      <c r="F251" s="76">
        <f t="shared" ref="F251:F253" si="7">31/2</f>
        <v>15.5</v>
      </c>
      <c r="G251" s="76">
        <v>25</v>
      </c>
      <c r="H251" s="76">
        <v>5</v>
      </c>
      <c r="I251" s="76"/>
      <c r="J251" s="76" t="s">
        <v>17</v>
      </c>
      <c r="K251" s="76">
        <v>1509</v>
      </c>
      <c r="L251" s="77" t="s">
        <v>27</v>
      </c>
      <c r="M251" s="77"/>
      <c r="N251" s="77"/>
      <c r="O251" s="77"/>
    </row>
    <row r="252" spans="1:15" x14ac:dyDescent="0.25">
      <c r="A252" s="75" t="s">
        <v>196</v>
      </c>
      <c r="B252" s="77" t="s">
        <v>14</v>
      </c>
      <c r="C252" s="77" t="s">
        <v>28</v>
      </c>
      <c r="D252" s="77">
        <v>3.16</v>
      </c>
      <c r="E252" s="76" t="s">
        <v>44</v>
      </c>
      <c r="F252" s="76">
        <f t="shared" si="7"/>
        <v>15.5</v>
      </c>
      <c r="G252" s="76">
        <v>25</v>
      </c>
      <c r="H252" s="76">
        <v>5</v>
      </c>
      <c r="I252" s="76"/>
      <c r="J252" s="76" t="s">
        <v>17</v>
      </c>
      <c r="K252" s="76">
        <v>894</v>
      </c>
      <c r="L252" s="77"/>
      <c r="M252" s="77"/>
      <c r="N252" s="77"/>
      <c r="O252" s="77"/>
    </row>
    <row r="253" spans="1:15" x14ac:dyDescent="0.25">
      <c r="A253" s="75" t="s">
        <v>196</v>
      </c>
      <c r="B253" s="77" t="s">
        <v>20</v>
      </c>
      <c r="C253" s="77" t="s">
        <v>28</v>
      </c>
      <c r="D253" s="77">
        <v>5.62</v>
      </c>
      <c r="E253" s="76" t="s">
        <v>44</v>
      </c>
      <c r="F253" s="76">
        <f t="shared" si="7"/>
        <v>15.5</v>
      </c>
      <c r="G253" s="76">
        <v>25</v>
      </c>
      <c r="H253" s="76">
        <v>5</v>
      </c>
      <c r="I253" s="76"/>
      <c r="J253" s="76" t="s">
        <v>17</v>
      </c>
      <c r="K253" s="76">
        <v>1210</v>
      </c>
      <c r="L253" s="77" t="s">
        <v>27</v>
      </c>
      <c r="M253" s="77"/>
      <c r="N253" s="77"/>
      <c r="O253" s="77"/>
    </row>
    <row r="254" spans="1:15" x14ac:dyDescent="0.25">
      <c r="A254" s="72" t="s">
        <v>197</v>
      </c>
      <c r="B254" s="73" t="s">
        <v>14</v>
      </c>
      <c r="C254" s="73" t="s">
        <v>198</v>
      </c>
      <c r="D254" s="73"/>
      <c r="E254" s="73" t="s">
        <v>26</v>
      </c>
      <c r="F254" s="73">
        <f>(0.2+10)/2</f>
        <v>5.0999999999999996</v>
      </c>
      <c r="G254" s="73"/>
      <c r="H254" s="73">
        <v>5.5</v>
      </c>
      <c r="I254" s="73">
        <v>200</v>
      </c>
      <c r="J254" s="73" t="s">
        <v>17</v>
      </c>
      <c r="K254" s="73">
        <v>140.547</v>
      </c>
      <c r="L254" s="73"/>
      <c r="M254" s="73" t="s">
        <v>199</v>
      </c>
      <c r="N254" s="73" t="s">
        <v>200</v>
      </c>
      <c r="O254" s="73"/>
    </row>
    <row r="255" spans="1:15" x14ac:dyDescent="0.25">
      <c r="A255" s="72" t="s">
        <v>197</v>
      </c>
      <c r="B255" s="73" t="s">
        <v>20</v>
      </c>
      <c r="C255" s="73" t="s">
        <v>198</v>
      </c>
      <c r="D255" s="73"/>
      <c r="E255" s="73" t="s">
        <v>26</v>
      </c>
      <c r="F255" s="73">
        <f t="shared" ref="F255" si="8">(0.2+10)/2</f>
        <v>5.0999999999999996</v>
      </c>
      <c r="G255" s="73"/>
      <c r="H255" s="73">
        <v>5.5</v>
      </c>
      <c r="I255" s="73">
        <v>200</v>
      </c>
      <c r="J255" s="73" t="s">
        <v>17</v>
      </c>
      <c r="K255" s="73">
        <v>172.065</v>
      </c>
      <c r="L255" s="73" t="s">
        <v>161</v>
      </c>
      <c r="M255" s="73" t="s">
        <v>201</v>
      </c>
      <c r="N255" s="73" t="s">
        <v>202</v>
      </c>
      <c r="O255" s="73"/>
    </row>
    <row r="256" spans="1:15" x14ac:dyDescent="0.25">
      <c r="A256" s="55" t="s">
        <v>203</v>
      </c>
      <c r="B256" s="56" t="s">
        <v>14</v>
      </c>
      <c r="C256" s="56" t="s">
        <v>30</v>
      </c>
      <c r="D256" s="56">
        <v>0.86</v>
      </c>
      <c r="E256" t="s">
        <v>44</v>
      </c>
      <c r="F256">
        <v>7</v>
      </c>
      <c r="G256">
        <v>25</v>
      </c>
      <c r="I256">
        <v>180</v>
      </c>
      <c r="J256" s="56" t="s">
        <v>17</v>
      </c>
      <c r="K256" s="76">
        <v>1910</v>
      </c>
      <c r="L256" s="56"/>
      <c r="M256" s="56"/>
      <c r="N256" s="56" t="s">
        <v>204</v>
      </c>
      <c r="O256" s="56"/>
    </row>
    <row r="257" spans="1:15" x14ac:dyDescent="0.25">
      <c r="A257" s="55" t="s">
        <v>203</v>
      </c>
      <c r="B257" s="56" t="s">
        <v>14</v>
      </c>
      <c r="C257" s="56" t="s">
        <v>30</v>
      </c>
      <c r="D257" s="56">
        <v>1.4950000000000001</v>
      </c>
      <c r="E257" t="s">
        <v>44</v>
      </c>
      <c r="F257">
        <v>7</v>
      </c>
      <c r="G257">
        <v>25</v>
      </c>
      <c r="I257">
        <v>180</v>
      </c>
      <c r="J257" s="47" t="s">
        <v>34</v>
      </c>
      <c r="K257" s="76">
        <v>2630</v>
      </c>
      <c r="L257" s="56"/>
      <c r="M257" s="56" t="s">
        <v>35</v>
      </c>
      <c r="N257" s="56" t="s">
        <v>205</v>
      </c>
      <c r="O257" s="56"/>
    </row>
    <row r="258" spans="1:15" x14ac:dyDescent="0.25">
      <c r="A258" s="55" t="s">
        <v>203</v>
      </c>
      <c r="B258" s="56" t="s">
        <v>14</v>
      </c>
      <c r="C258" s="56" t="s">
        <v>30</v>
      </c>
      <c r="D258" s="56">
        <v>1.4950000000000001</v>
      </c>
      <c r="E258" t="s">
        <v>44</v>
      </c>
      <c r="F258">
        <v>7</v>
      </c>
      <c r="G258">
        <v>25</v>
      </c>
      <c r="I258">
        <v>180</v>
      </c>
      <c r="J258" s="47" t="s">
        <v>34</v>
      </c>
      <c r="K258" s="76">
        <v>3450</v>
      </c>
      <c r="L258" s="56"/>
      <c r="M258" s="56" t="s">
        <v>35</v>
      </c>
      <c r="N258" s="56" t="s">
        <v>206</v>
      </c>
      <c r="O258" s="56"/>
    </row>
    <row r="259" spans="1:15" x14ac:dyDescent="0.25">
      <c r="A259" s="55" t="s">
        <v>203</v>
      </c>
      <c r="B259" s="56" t="s">
        <v>14</v>
      </c>
      <c r="C259" s="56" t="s">
        <v>30</v>
      </c>
      <c r="D259" s="56">
        <v>1.4950000000000001</v>
      </c>
      <c r="E259" t="s">
        <v>44</v>
      </c>
      <c r="F259">
        <v>7</v>
      </c>
      <c r="G259">
        <v>25</v>
      </c>
      <c r="I259">
        <v>180</v>
      </c>
      <c r="J259" s="47" t="s">
        <v>34</v>
      </c>
      <c r="K259" s="76">
        <v>4040</v>
      </c>
      <c r="L259" s="56"/>
      <c r="M259" s="56" t="s">
        <v>35</v>
      </c>
      <c r="N259" s="56" t="s">
        <v>207</v>
      </c>
      <c r="O259" s="56"/>
    </row>
    <row r="260" spans="1:15" x14ac:dyDescent="0.25">
      <c r="A260" s="55" t="s">
        <v>203</v>
      </c>
      <c r="B260" s="47" t="s">
        <v>20</v>
      </c>
      <c r="C260" s="47" t="s">
        <v>30</v>
      </c>
      <c r="D260" s="47">
        <v>3.3780000000000001</v>
      </c>
      <c r="E260" s="47" t="s">
        <v>44</v>
      </c>
      <c r="F260" s="47">
        <v>7</v>
      </c>
      <c r="G260" s="47">
        <v>25</v>
      </c>
      <c r="H260" s="47"/>
      <c r="I260" s="47">
        <v>180</v>
      </c>
      <c r="J260" s="47" t="s">
        <v>17</v>
      </c>
      <c r="K260" s="47">
        <v>4570</v>
      </c>
      <c r="L260" s="47" t="s">
        <v>161</v>
      </c>
      <c r="M260" s="47" t="s">
        <v>35</v>
      </c>
      <c r="N260" s="47" t="s">
        <v>208</v>
      </c>
      <c r="O260" s="47"/>
    </row>
    <row r="261" spans="1:15" x14ac:dyDescent="0.25">
      <c r="A261" s="55" t="s">
        <v>203</v>
      </c>
      <c r="B261" s="47" t="s">
        <v>20</v>
      </c>
      <c r="C261" s="47" t="s">
        <v>30</v>
      </c>
      <c r="D261" s="47">
        <v>2.8769999999999998</v>
      </c>
      <c r="E261" t="s">
        <v>44</v>
      </c>
      <c r="F261">
        <v>7</v>
      </c>
      <c r="G261">
        <v>25</v>
      </c>
      <c r="I261">
        <v>180</v>
      </c>
      <c r="J261" s="47" t="s">
        <v>34</v>
      </c>
      <c r="K261" s="76">
        <v>4420</v>
      </c>
      <c r="L261" s="47" t="s">
        <v>161</v>
      </c>
      <c r="M261" s="56" t="s">
        <v>35</v>
      </c>
      <c r="N261" s="56" t="s">
        <v>209</v>
      </c>
      <c r="O261" s="47"/>
    </row>
    <row r="262" spans="1:15" x14ac:dyDescent="0.25">
      <c r="A262" s="55" t="s">
        <v>203</v>
      </c>
      <c r="B262" s="47" t="s">
        <v>20</v>
      </c>
      <c r="C262" s="47" t="s">
        <v>30</v>
      </c>
      <c r="D262" s="47">
        <v>2.8769999999999998</v>
      </c>
      <c r="E262" t="s">
        <v>44</v>
      </c>
      <c r="F262">
        <v>7</v>
      </c>
      <c r="G262">
        <v>25</v>
      </c>
      <c r="I262">
        <v>180</v>
      </c>
      <c r="J262" s="47" t="s">
        <v>34</v>
      </c>
      <c r="K262" s="76">
        <v>4040</v>
      </c>
      <c r="L262" s="47" t="s">
        <v>161</v>
      </c>
      <c r="M262" s="56" t="s">
        <v>35</v>
      </c>
      <c r="N262" s="56" t="s">
        <v>210</v>
      </c>
      <c r="O262" s="47"/>
    </row>
    <row r="263" spans="1:15" ht="15.75" thickBot="1" x14ac:dyDescent="0.3">
      <c r="A263" s="55" t="s">
        <v>203</v>
      </c>
      <c r="B263" s="47" t="s">
        <v>20</v>
      </c>
      <c r="C263" s="47" t="s">
        <v>30</v>
      </c>
      <c r="D263" s="47">
        <v>2.8769999999999998</v>
      </c>
      <c r="E263" t="s">
        <v>44</v>
      </c>
      <c r="F263">
        <v>7</v>
      </c>
      <c r="G263">
        <v>25</v>
      </c>
      <c r="I263">
        <v>180</v>
      </c>
      <c r="J263" s="47" t="s">
        <v>34</v>
      </c>
      <c r="K263" s="76">
        <v>3440</v>
      </c>
      <c r="L263" s="47" t="s">
        <v>161</v>
      </c>
      <c r="M263" s="56" t="s">
        <v>35</v>
      </c>
      <c r="N263" s="56" t="s">
        <v>211</v>
      </c>
      <c r="O263" s="47"/>
    </row>
    <row r="264" spans="1:15" ht="15.75" thickBot="1" x14ac:dyDescent="0.3">
      <c r="A264" s="78" t="s">
        <v>212</v>
      </c>
      <c r="B264" s="79" t="s">
        <v>14</v>
      </c>
      <c r="C264" s="79" t="s">
        <v>130</v>
      </c>
      <c r="D264" s="79"/>
      <c r="E264" s="79" t="s">
        <v>44</v>
      </c>
      <c r="F264" s="79">
        <v>30</v>
      </c>
      <c r="G264" s="79">
        <v>25</v>
      </c>
      <c r="H264" s="79">
        <v>5</v>
      </c>
      <c r="I264" s="79">
        <v>100</v>
      </c>
      <c r="J264" s="79" t="s">
        <v>17</v>
      </c>
      <c r="K264" s="79">
        <v>889.54</v>
      </c>
      <c r="L264" s="79"/>
      <c r="M264" s="79"/>
      <c r="N264" s="79" t="s">
        <v>213</v>
      </c>
      <c r="O264" s="79"/>
    </row>
    <row r="265" spans="1:15" ht="15.75" thickBot="1" x14ac:dyDescent="0.3">
      <c r="A265" s="78" t="s">
        <v>212</v>
      </c>
      <c r="B265" s="71" t="s">
        <v>20</v>
      </c>
      <c r="C265" s="71" t="s">
        <v>130</v>
      </c>
      <c r="D265" s="79"/>
      <c r="E265" s="79" t="s">
        <v>44</v>
      </c>
      <c r="F265" s="79">
        <v>30</v>
      </c>
      <c r="G265" s="79">
        <v>25</v>
      </c>
      <c r="H265" s="79">
        <v>5</v>
      </c>
      <c r="I265" s="79">
        <v>100</v>
      </c>
      <c r="J265" s="79" t="s">
        <v>17</v>
      </c>
      <c r="K265" s="79">
        <v>1087.81</v>
      </c>
      <c r="L265" s="71" t="s">
        <v>214</v>
      </c>
      <c r="M265" s="79"/>
      <c r="N265" s="79" t="s">
        <v>215</v>
      </c>
      <c r="O265" s="79"/>
    </row>
    <row r="266" spans="1:15" ht="15.75" thickBot="1" x14ac:dyDescent="0.3">
      <c r="A266" s="78" t="s">
        <v>212</v>
      </c>
      <c r="B266" s="71" t="s">
        <v>20</v>
      </c>
      <c r="C266" s="71" t="s">
        <v>130</v>
      </c>
      <c r="D266" s="79"/>
      <c r="E266" s="79" t="s">
        <v>44</v>
      </c>
      <c r="F266" s="79">
        <v>30</v>
      </c>
      <c r="G266" s="79">
        <v>25</v>
      </c>
      <c r="H266" s="79">
        <v>5</v>
      </c>
      <c r="I266" s="79">
        <v>100</v>
      </c>
      <c r="J266" s="79" t="s">
        <v>17</v>
      </c>
      <c r="K266" s="79">
        <v>1453.54</v>
      </c>
      <c r="L266" s="71" t="s">
        <v>214</v>
      </c>
      <c r="M266" s="79"/>
      <c r="N266" s="79" t="s">
        <v>216</v>
      </c>
      <c r="O266" s="79"/>
    </row>
    <row r="267" spans="1:15" ht="15.75" thickBot="1" x14ac:dyDescent="0.3">
      <c r="A267" s="78" t="s">
        <v>212</v>
      </c>
      <c r="B267" s="71" t="s">
        <v>20</v>
      </c>
      <c r="C267" s="71" t="s">
        <v>130</v>
      </c>
      <c r="D267" s="79"/>
      <c r="E267" s="79" t="s">
        <v>44</v>
      </c>
      <c r="F267" s="79">
        <v>30</v>
      </c>
      <c r="G267" s="79">
        <v>25</v>
      </c>
      <c r="H267" s="79">
        <v>5</v>
      </c>
      <c r="I267" s="79">
        <v>100</v>
      </c>
      <c r="J267" s="79" t="s">
        <v>17</v>
      </c>
      <c r="K267" s="79">
        <v>1728.71</v>
      </c>
      <c r="L267" s="71" t="s">
        <v>214</v>
      </c>
      <c r="M267" s="79"/>
      <c r="N267" s="79" t="s">
        <v>217</v>
      </c>
      <c r="O267" s="79"/>
    </row>
    <row r="268" spans="1:15" ht="15.75" thickBot="1" x14ac:dyDescent="0.3">
      <c r="A268" s="78" t="s">
        <v>212</v>
      </c>
      <c r="B268" s="71" t="s">
        <v>20</v>
      </c>
      <c r="C268" s="71" t="s">
        <v>130</v>
      </c>
      <c r="D268" s="79"/>
      <c r="E268" s="79" t="s">
        <v>44</v>
      </c>
      <c r="F268" s="79">
        <v>30</v>
      </c>
      <c r="G268" s="79">
        <v>25</v>
      </c>
      <c r="H268" s="79">
        <v>5</v>
      </c>
      <c r="I268" s="79">
        <v>100</v>
      </c>
      <c r="J268" s="79" t="s">
        <v>17</v>
      </c>
      <c r="K268" s="79">
        <v>2089.02</v>
      </c>
      <c r="L268" s="71" t="s">
        <v>214</v>
      </c>
      <c r="M268" s="79"/>
      <c r="N268" s="79" t="s">
        <v>218</v>
      </c>
      <c r="O268" s="79"/>
    </row>
    <row r="269" spans="1:15" x14ac:dyDescent="0.25">
      <c r="A269" s="80" t="s">
        <v>219</v>
      </c>
      <c r="B269" s="74" t="s">
        <v>14</v>
      </c>
      <c r="C269" s="74" t="s">
        <v>130</v>
      </c>
      <c r="D269" s="74"/>
      <c r="E269" s="74" t="s">
        <v>26</v>
      </c>
      <c r="F269" s="74">
        <f>31/2</f>
        <v>15.5</v>
      </c>
      <c r="G269" s="74">
        <v>25</v>
      </c>
      <c r="H269" s="74">
        <v>6</v>
      </c>
      <c r="I269" s="74">
        <v>160</v>
      </c>
      <c r="J269" s="74" t="s">
        <v>17</v>
      </c>
      <c r="K269" s="79">
        <v>6085</v>
      </c>
      <c r="L269" s="74"/>
      <c r="M269" s="74"/>
      <c r="N269" s="74" t="s">
        <v>130</v>
      </c>
      <c r="O269" s="74"/>
    </row>
    <row r="270" spans="1:15" x14ac:dyDescent="0.25">
      <c r="A270" s="80" t="s">
        <v>219</v>
      </c>
      <c r="B270" s="74" t="s">
        <v>20</v>
      </c>
      <c r="C270" s="74" t="s">
        <v>130</v>
      </c>
      <c r="D270" s="74"/>
      <c r="E270" s="74" t="s">
        <v>26</v>
      </c>
      <c r="F270" s="74">
        <f t="shared" ref="F270:F272" si="9">31/2</f>
        <v>15.5</v>
      </c>
      <c r="G270" s="74">
        <v>25</v>
      </c>
      <c r="H270" s="74">
        <v>6</v>
      </c>
      <c r="I270" s="74">
        <v>160</v>
      </c>
      <c r="J270" s="74" t="s">
        <v>17</v>
      </c>
      <c r="K270" s="79">
        <v>7132</v>
      </c>
      <c r="L270" s="74" t="s">
        <v>27</v>
      </c>
      <c r="M270" s="74"/>
      <c r="N270" s="74" t="s">
        <v>220</v>
      </c>
      <c r="O270" s="74"/>
    </row>
    <row r="271" spans="1:15" x14ac:dyDescent="0.25">
      <c r="A271" s="80" t="s">
        <v>219</v>
      </c>
      <c r="B271" s="74" t="s">
        <v>14</v>
      </c>
      <c r="C271" s="74" t="s">
        <v>28</v>
      </c>
      <c r="D271" s="74"/>
      <c r="E271" s="74" t="s">
        <v>26</v>
      </c>
      <c r="F271" s="74">
        <f t="shared" si="9"/>
        <v>15.5</v>
      </c>
      <c r="G271" s="74">
        <v>25</v>
      </c>
      <c r="H271" s="74">
        <v>6</v>
      </c>
      <c r="I271" s="74">
        <v>160</v>
      </c>
      <c r="J271" s="74" t="s">
        <v>17</v>
      </c>
      <c r="K271" s="79">
        <v>365</v>
      </c>
      <c r="L271" s="74"/>
      <c r="M271" s="74"/>
      <c r="N271" s="74" t="s">
        <v>28</v>
      </c>
      <c r="O271" s="74"/>
    </row>
    <row r="272" spans="1:15" x14ac:dyDescent="0.25">
      <c r="A272" s="80" t="s">
        <v>219</v>
      </c>
      <c r="B272" s="74" t="s">
        <v>20</v>
      </c>
      <c r="C272" s="74" t="s">
        <v>28</v>
      </c>
      <c r="D272" s="74"/>
      <c r="E272" s="74" t="s">
        <v>26</v>
      </c>
      <c r="F272" s="74">
        <f t="shared" si="9"/>
        <v>15.5</v>
      </c>
      <c r="G272" s="74">
        <v>25</v>
      </c>
      <c r="H272" s="74">
        <v>6</v>
      </c>
      <c r="I272" s="74">
        <v>160</v>
      </c>
      <c r="J272" s="74" t="s">
        <v>17</v>
      </c>
      <c r="K272" s="79">
        <v>489</v>
      </c>
      <c r="L272" s="74" t="s">
        <v>27</v>
      </c>
      <c r="M272" s="74"/>
      <c r="N272" s="74" t="s">
        <v>220</v>
      </c>
      <c r="O272" s="74"/>
    </row>
    <row r="273" spans="1:15" x14ac:dyDescent="0.25">
      <c r="A273" s="44" t="s">
        <v>221</v>
      </c>
      <c r="B273" s="47" t="s">
        <v>14</v>
      </c>
      <c r="C273" s="47" t="s">
        <v>28</v>
      </c>
      <c r="D273" s="47"/>
      <c r="E273" s="47" t="s">
        <v>156</v>
      </c>
      <c r="F273" s="47">
        <f>20.5/2</f>
        <v>10.25</v>
      </c>
      <c r="G273" s="47">
        <v>25</v>
      </c>
      <c r="H273" s="47">
        <v>7</v>
      </c>
      <c r="I273" s="47"/>
      <c r="J273" s="47" t="s">
        <v>17</v>
      </c>
      <c r="K273" s="47">
        <v>2.23</v>
      </c>
      <c r="L273" s="47"/>
      <c r="M273" s="47"/>
      <c r="N273" s="47" t="s">
        <v>222</v>
      </c>
      <c r="O273" s="47"/>
    </row>
    <row r="274" spans="1:15" x14ac:dyDescent="0.25">
      <c r="A274" s="44" t="s">
        <v>221</v>
      </c>
      <c r="B274" s="47" t="s">
        <v>14</v>
      </c>
      <c r="C274" s="77" t="s">
        <v>19</v>
      </c>
      <c r="D274" s="47"/>
      <c r="E274" s="47" t="s">
        <v>156</v>
      </c>
      <c r="F274" s="47">
        <f t="shared" ref="F274:F278" si="10">20.5/2</f>
        <v>10.25</v>
      </c>
      <c r="G274" s="47">
        <v>25</v>
      </c>
      <c r="H274" s="47">
        <v>7</v>
      </c>
      <c r="I274" s="47"/>
      <c r="J274" s="47" t="s">
        <v>17</v>
      </c>
      <c r="K274" s="79">
        <v>0.69</v>
      </c>
      <c r="L274" s="47"/>
      <c r="M274" s="47"/>
      <c r="N274" s="47" t="s">
        <v>223</v>
      </c>
      <c r="O274" s="47"/>
    </row>
    <row r="275" spans="1:15" x14ac:dyDescent="0.25">
      <c r="A275" s="44" t="s">
        <v>221</v>
      </c>
      <c r="B275" s="47" t="s">
        <v>14</v>
      </c>
      <c r="C275" s="81" t="s">
        <v>130</v>
      </c>
      <c r="D275" s="47"/>
      <c r="E275" s="47" t="s">
        <v>156</v>
      </c>
      <c r="F275" s="47">
        <f t="shared" si="10"/>
        <v>10.25</v>
      </c>
      <c r="G275" s="47">
        <v>25</v>
      </c>
      <c r="H275" s="47">
        <v>7</v>
      </c>
      <c r="I275" s="47"/>
      <c r="J275" s="47" t="s">
        <v>17</v>
      </c>
      <c r="K275" s="79">
        <v>12.54</v>
      </c>
      <c r="L275" s="47"/>
      <c r="M275" s="47"/>
      <c r="N275" s="47" t="s">
        <v>160</v>
      </c>
      <c r="O275" s="47"/>
    </row>
    <row r="276" spans="1:15" x14ac:dyDescent="0.25">
      <c r="A276" s="44" t="s">
        <v>221</v>
      </c>
      <c r="B276" s="47" t="s">
        <v>20</v>
      </c>
      <c r="C276" s="47" t="s">
        <v>28</v>
      </c>
      <c r="D276" s="47"/>
      <c r="E276" s="47" t="s">
        <v>156</v>
      </c>
      <c r="F276" s="47">
        <f>20.5/2</f>
        <v>10.25</v>
      </c>
      <c r="G276" s="47">
        <v>25</v>
      </c>
      <c r="H276" s="47">
        <v>7</v>
      </c>
      <c r="I276" s="47"/>
      <c r="J276" s="47" t="s">
        <v>17</v>
      </c>
      <c r="K276">
        <v>15.61</v>
      </c>
      <c r="L276" s="47" t="s">
        <v>224</v>
      </c>
      <c r="M276" s="47"/>
      <c r="N276" s="47" t="s">
        <v>225</v>
      </c>
      <c r="O276" s="47"/>
    </row>
    <row r="277" spans="1:15" x14ac:dyDescent="0.25">
      <c r="A277" s="44" t="s">
        <v>221</v>
      </c>
      <c r="B277" s="47" t="s">
        <v>20</v>
      </c>
      <c r="C277" s="77" t="s">
        <v>19</v>
      </c>
      <c r="D277" s="47"/>
      <c r="E277" s="47" t="s">
        <v>156</v>
      </c>
      <c r="F277" s="47">
        <f t="shared" si="10"/>
        <v>10.25</v>
      </c>
      <c r="G277" s="47">
        <v>25</v>
      </c>
      <c r="H277" s="47">
        <v>7</v>
      </c>
      <c r="I277" s="47"/>
      <c r="J277" s="47" t="s">
        <v>17</v>
      </c>
      <c r="K277">
        <v>22.23</v>
      </c>
      <c r="L277" s="47" t="s">
        <v>224</v>
      </c>
      <c r="M277" s="47"/>
      <c r="N277" s="47" t="s">
        <v>226</v>
      </c>
      <c r="O277" s="47"/>
    </row>
    <row r="278" spans="1:15" x14ac:dyDescent="0.25">
      <c r="A278" s="44" t="s">
        <v>221</v>
      </c>
      <c r="B278" s="47" t="s">
        <v>20</v>
      </c>
      <c r="C278" s="81" t="s">
        <v>130</v>
      </c>
      <c r="D278" s="47"/>
      <c r="E278" s="47" t="s">
        <v>156</v>
      </c>
      <c r="F278" s="47">
        <f t="shared" si="10"/>
        <v>10.25</v>
      </c>
      <c r="G278" s="47">
        <v>25</v>
      </c>
      <c r="H278" s="47">
        <v>7</v>
      </c>
      <c r="I278" s="47"/>
      <c r="J278" s="47" t="s">
        <v>17</v>
      </c>
      <c r="K278">
        <v>27.51</v>
      </c>
      <c r="L278" s="47" t="s">
        <v>224</v>
      </c>
      <c r="M278" s="47"/>
      <c r="N278" s="47" t="s">
        <v>227</v>
      </c>
      <c r="O278" s="47"/>
    </row>
    <row r="279" spans="1:15" x14ac:dyDescent="0.25">
      <c r="A279" s="16" t="s">
        <v>228</v>
      </c>
      <c r="B279" s="16" t="s">
        <v>14</v>
      </c>
      <c r="C279" s="16" t="s">
        <v>15</v>
      </c>
      <c r="D279" s="16"/>
      <c r="E279" s="16" t="s">
        <v>26</v>
      </c>
      <c r="F279" s="16">
        <f>21/2</f>
        <v>10.5</v>
      </c>
      <c r="G279" s="16">
        <v>25</v>
      </c>
      <c r="H279" s="16">
        <v>5</v>
      </c>
      <c r="I279" s="16">
        <v>200</v>
      </c>
      <c r="J279" s="3" t="s">
        <v>17</v>
      </c>
      <c r="K279">
        <v>964</v>
      </c>
      <c r="L279" s="16"/>
      <c r="M279" s="16"/>
      <c r="N279" s="16"/>
      <c r="O279" s="16"/>
    </row>
    <row r="280" spans="1:15" x14ac:dyDescent="0.25">
      <c r="A280" s="16" t="s">
        <v>228</v>
      </c>
      <c r="B280" s="10" t="s">
        <v>20</v>
      </c>
      <c r="C280" s="10" t="s">
        <v>15</v>
      </c>
      <c r="D280" s="10"/>
      <c r="E280" s="16" t="s">
        <v>26</v>
      </c>
      <c r="F280" s="16">
        <f t="shared" ref="F280:F282" si="11">21/2</f>
        <v>10.5</v>
      </c>
      <c r="G280" s="24">
        <v>25</v>
      </c>
      <c r="H280" s="3">
        <v>5</v>
      </c>
      <c r="I280" s="3">
        <v>200</v>
      </c>
      <c r="J280" s="3" t="s">
        <v>17</v>
      </c>
      <c r="K280" s="10">
        <v>1415</v>
      </c>
      <c r="L280" s="10" t="s">
        <v>27</v>
      </c>
      <c r="M280" s="10"/>
      <c r="N280" s="10"/>
      <c r="O280" s="10"/>
    </row>
    <row r="281" spans="1:15" x14ac:dyDescent="0.25">
      <c r="A281" s="16" t="s">
        <v>228</v>
      </c>
      <c r="B281" s="24" t="s">
        <v>14</v>
      </c>
      <c r="C281" s="24" t="s">
        <v>130</v>
      </c>
      <c r="E281" s="16" t="s">
        <v>26</v>
      </c>
      <c r="F281" s="16">
        <f t="shared" si="11"/>
        <v>10.5</v>
      </c>
      <c r="G281" s="16">
        <v>25</v>
      </c>
      <c r="H281" s="3">
        <v>5</v>
      </c>
      <c r="I281" s="16">
        <v>200</v>
      </c>
      <c r="J281" s="3" t="s">
        <v>17</v>
      </c>
      <c r="K281">
        <v>951</v>
      </c>
    </row>
    <row r="282" spans="1:15" x14ac:dyDescent="0.25">
      <c r="A282" s="16" t="s">
        <v>228</v>
      </c>
      <c r="B282" s="10" t="s">
        <v>20</v>
      </c>
      <c r="C282" s="10" t="s">
        <v>130</v>
      </c>
      <c r="D282" s="10"/>
      <c r="E282" s="16" t="s">
        <v>26</v>
      </c>
      <c r="F282" s="16">
        <f t="shared" si="11"/>
        <v>10.5</v>
      </c>
      <c r="G282" s="24">
        <v>25</v>
      </c>
      <c r="H282" s="3">
        <v>5</v>
      </c>
      <c r="I282" s="3">
        <v>200</v>
      </c>
      <c r="J282" s="3" t="s">
        <v>17</v>
      </c>
      <c r="K282" s="10">
        <v>1398</v>
      </c>
      <c r="L282" s="10" t="s">
        <v>27</v>
      </c>
      <c r="M282" s="10"/>
      <c r="N282" s="10"/>
      <c r="O282" s="10"/>
    </row>
    <row r="283" spans="1:15" x14ac:dyDescent="0.25">
      <c r="A283" s="24" t="s">
        <v>229</v>
      </c>
      <c r="B283" s="24" t="s">
        <v>14</v>
      </c>
      <c r="C283" s="24" t="s">
        <v>15</v>
      </c>
      <c r="D283" s="3">
        <v>0.50309999999999999</v>
      </c>
      <c r="E283" s="24" t="s">
        <v>113</v>
      </c>
      <c r="F283">
        <f>21/2</f>
        <v>10.5</v>
      </c>
      <c r="I283">
        <v>200</v>
      </c>
      <c r="J283" t="s">
        <v>17</v>
      </c>
      <c r="K283">
        <v>1997</v>
      </c>
      <c r="L283" s="24"/>
      <c r="M283" s="24"/>
      <c r="N283" s="24"/>
      <c r="O283" s="24" t="s">
        <v>230</v>
      </c>
    </row>
    <row r="284" spans="1:15" x14ac:dyDescent="0.25">
      <c r="A284" s="24" t="s">
        <v>229</v>
      </c>
      <c r="B284" s="10" t="s">
        <v>20</v>
      </c>
      <c r="C284" s="10" t="s">
        <v>15</v>
      </c>
      <c r="D284" s="3">
        <v>0.7248</v>
      </c>
      <c r="E284" s="10" t="s">
        <v>113</v>
      </c>
      <c r="F284" s="10">
        <f t="shared" ref="F284:F286" si="12">21/2</f>
        <v>10.5</v>
      </c>
      <c r="G284" s="10"/>
      <c r="H284" s="10"/>
      <c r="I284" s="10">
        <v>200</v>
      </c>
      <c r="J284" s="10" t="s">
        <v>17</v>
      </c>
      <c r="K284" s="10">
        <v>2192</v>
      </c>
      <c r="L284" s="10" t="s">
        <v>27</v>
      </c>
    </row>
    <row r="285" spans="1:15" x14ac:dyDescent="0.25">
      <c r="A285" s="24" t="s">
        <v>229</v>
      </c>
      <c r="B285" s="16" t="s">
        <v>14</v>
      </c>
      <c r="C285" s="16" t="s">
        <v>130</v>
      </c>
      <c r="D285" s="3">
        <v>0.38350000000000001</v>
      </c>
      <c r="E285" s="16" t="s">
        <v>113</v>
      </c>
      <c r="F285" s="16">
        <f t="shared" si="12"/>
        <v>10.5</v>
      </c>
      <c r="G285" s="16"/>
      <c r="H285" s="16"/>
      <c r="I285" s="16">
        <v>200</v>
      </c>
      <c r="J285" s="16" t="s">
        <v>17</v>
      </c>
      <c r="K285" s="16">
        <v>941</v>
      </c>
      <c r="L285" s="16"/>
    </row>
    <row r="286" spans="1:15" x14ac:dyDescent="0.25">
      <c r="A286" s="24" t="s">
        <v>229</v>
      </c>
      <c r="B286" s="10" t="s">
        <v>20</v>
      </c>
      <c r="C286" s="10" t="s">
        <v>130</v>
      </c>
      <c r="D286" s="3">
        <v>0.56910000000000005</v>
      </c>
      <c r="E286" s="10" t="s">
        <v>113</v>
      </c>
      <c r="F286" s="10">
        <f t="shared" si="12"/>
        <v>10.5</v>
      </c>
      <c r="G286" s="10"/>
      <c r="H286" s="10"/>
      <c r="I286" s="10">
        <v>200</v>
      </c>
      <c r="J286" s="10" t="s">
        <v>17</v>
      </c>
      <c r="K286" s="10">
        <v>1103</v>
      </c>
      <c r="L286" s="10" t="s">
        <v>27</v>
      </c>
    </row>
    <row r="287" spans="1:15" x14ac:dyDescent="0.25">
      <c r="A287" s="53" t="s">
        <v>231</v>
      </c>
      <c r="B287" s="24" t="s">
        <v>14</v>
      </c>
      <c r="C287" s="24" t="s">
        <v>18</v>
      </c>
      <c r="E287" t="s">
        <v>26</v>
      </c>
      <c r="F287">
        <f>5.1/2</f>
        <v>2.5499999999999998</v>
      </c>
      <c r="G287" s="3">
        <v>25</v>
      </c>
      <c r="H287">
        <v>6</v>
      </c>
      <c r="I287">
        <v>150</v>
      </c>
      <c r="J287" t="s">
        <v>17</v>
      </c>
      <c r="K287">
        <v>5167</v>
      </c>
      <c r="N287" t="s">
        <v>232</v>
      </c>
    </row>
    <row r="288" spans="1:15" x14ac:dyDescent="0.25">
      <c r="A288" s="53" t="s">
        <v>231</v>
      </c>
      <c r="B288" s="24" t="s">
        <v>14</v>
      </c>
      <c r="C288" s="24" t="s">
        <v>18</v>
      </c>
      <c r="D288" s="3"/>
      <c r="E288" t="s">
        <v>26</v>
      </c>
      <c r="F288">
        <f>5.1/2</f>
        <v>2.5499999999999998</v>
      </c>
      <c r="G288" s="3">
        <v>25</v>
      </c>
      <c r="H288">
        <v>6</v>
      </c>
      <c r="I288">
        <v>150</v>
      </c>
      <c r="J288" t="s">
        <v>17</v>
      </c>
      <c r="K288" s="3">
        <v>1805</v>
      </c>
      <c r="L288" s="3"/>
      <c r="M288" s="3"/>
      <c r="N288" s="3" t="s">
        <v>233</v>
      </c>
      <c r="O288" s="3"/>
    </row>
    <row r="289" spans="1:15" x14ac:dyDescent="0.25">
      <c r="A289" s="53" t="s">
        <v>231</v>
      </c>
      <c r="B289" s="3" t="s">
        <v>20</v>
      </c>
      <c r="C289" s="3" t="s">
        <v>18</v>
      </c>
      <c r="D289" s="3"/>
      <c r="E289" t="s">
        <v>26</v>
      </c>
      <c r="F289">
        <f t="shared" ref="F289:F298" si="13">5.1/2</f>
        <v>2.5499999999999998</v>
      </c>
      <c r="G289" s="3">
        <v>25</v>
      </c>
      <c r="H289">
        <v>6</v>
      </c>
      <c r="I289">
        <v>150</v>
      </c>
      <c r="J289" t="s">
        <v>17</v>
      </c>
      <c r="K289" s="3">
        <v>4494</v>
      </c>
      <c r="L289" s="3"/>
      <c r="M289" s="3"/>
      <c r="N289" s="3" t="s">
        <v>234</v>
      </c>
      <c r="O289" s="3"/>
    </row>
    <row r="290" spans="1:15" x14ac:dyDescent="0.25">
      <c r="A290" s="53" t="s">
        <v>231</v>
      </c>
      <c r="B290" s="10" t="s">
        <v>14</v>
      </c>
      <c r="C290" s="3" t="s">
        <v>28</v>
      </c>
      <c r="D290" s="3"/>
      <c r="E290" t="s">
        <v>26</v>
      </c>
      <c r="F290">
        <f t="shared" si="13"/>
        <v>2.5499999999999998</v>
      </c>
      <c r="G290" s="3">
        <v>25</v>
      </c>
      <c r="H290">
        <v>6</v>
      </c>
      <c r="I290">
        <v>150</v>
      </c>
      <c r="J290" t="s">
        <v>17</v>
      </c>
      <c r="K290" s="3">
        <v>4115</v>
      </c>
      <c r="L290" s="3"/>
      <c r="M290" s="3"/>
      <c r="N290" t="s">
        <v>235</v>
      </c>
      <c r="O290" s="3"/>
    </row>
    <row r="291" spans="1:15" x14ac:dyDescent="0.25">
      <c r="A291" s="53" t="s">
        <v>231</v>
      </c>
      <c r="B291" s="10" t="s">
        <v>14</v>
      </c>
      <c r="C291" s="3" t="s">
        <v>28</v>
      </c>
      <c r="D291" s="3"/>
      <c r="E291" t="s">
        <v>26</v>
      </c>
      <c r="F291">
        <f t="shared" si="13"/>
        <v>2.5499999999999998</v>
      </c>
      <c r="G291" s="3">
        <v>25</v>
      </c>
      <c r="H291">
        <v>6</v>
      </c>
      <c r="I291">
        <v>150</v>
      </c>
      <c r="J291" t="s">
        <v>17</v>
      </c>
      <c r="K291" s="3">
        <v>3814</v>
      </c>
      <c r="L291" s="3"/>
      <c r="M291" s="3"/>
      <c r="N291" s="3" t="s">
        <v>236</v>
      </c>
      <c r="O291" s="3"/>
    </row>
    <row r="292" spans="1:15" x14ac:dyDescent="0.25">
      <c r="A292" s="53" t="s">
        <v>231</v>
      </c>
      <c r="B292" s="10" t="s">
        <v>20</v>
      </c>
      <c r="C292" s="3" t="s">
        <v>28</v>
      </c>
      <c r="D292" s="3"/>
      <c r="E292" t="s">
        <v>26</v>
      </c>
      <c r="F292">
        <f t="shared" si="13"/>
        <v>2.5499999999999998</v>
      </c>
      <c r="G292" s="3">
        <v>25</v>
      </c>
      <c r="H292">
        <v>6</v>
      </c>
      <c r="I292">
        <v>150</v>
      </c>
      <c r="J292" t="s">
        <v>17</v>
      </c>
      <c r="K292" s="3">
        <v>4445</v>
      </c>
      <c r="L292" s="3"/>
      <c r="M292" s="3"/>
      <c r="N292" s="3" t="s">
        <v>237</v>
      </c>
      <c r="O292" s="3"/>
    </row>
    <row r="293" spans="1:15" x14ac:dyDescent="0.25">
      <c r="A293" s="53" t="s">
        <v>231</v>
      </c>
      <c r="B293" s="24" t="s">
        <v>14</v>
      </c>
      <c r="C293" s="24" t="s">
        <v>18</v>
      </c>
      <c r="E293" s="24" t="s">
        <v>44</v>
      </c>
      <c r="F293">
        <f t="shared" si="13"/>
        <v>2.5499999999999998</v>
      </c>
      <c r="G293" s="3">
        <v>25</v>
      </c>
      <c r="H293">
        <v>6</v>
      </c>
      <c r="I293">
        <v>150</v>
      </c>
      <c r="J293" t="s">
        <v>17</v>
      </c>
      <c r="K293" s="24">
        <v>7742</v>
      </c>
      <c r="N293" t="s">
        <v>232</v>
      </c>
      <c r="O293" s="3"/>
    </row>
    <row r="294" spans="1:15" x14ac:dyDescent="0.25">
      <c r="A294" s="53" t="s">
        <v>231</v>
      </c>
      <c r="B294" s="24" t="s">
        <v>14</v>
      </c>
      <c r="C294" s="24" t="s">
        <v>18</v>
      </c>
      <c r="D294" s="3"/>
      <c r="E294" s="24" t="s">
        <v>44</v>
      </c>
      <c r="F294">
        <f t="shared" si="13"/>
        <v>2.5499999999999998</v>
      </c>
      <c r="G294" s="3">
        <v>25</v>
      </c>
      <c r="H294">
        <v>6</v>
      </c>
      <c r="I294">
        <v>150</v>
      </c>
      <c r="J294" t="s">
        <v>17</v>
      </c>
      <c r="K294" s="24">
        <v>5838</v>
      </c>
      <c r="L294" s="3"/>
      <c r="M294" s="3"/>
      <c r="N294" s="3" t="s">
        <v>233</v>
      </c>
      <c r="O294" s="3"/>
    </row>
    <row r="295" spans="1:15" x14ac:dyDescent="0.25">
      <c r="A295" s="53" t="s">
        <v>231</v>
      </c>
      <c r="B295" s="3" t="s">
        <v>20</v>
      </c>
      <c r="C295" s="3" t="s">
        <v>18</v>
      </c>
      <c r="D295" s="3"/>
      <c r="E295" s="24" t="s">
        <v>44</v>
      </c>
      <c r="F295">
        <f t="shared" si="13"/>
        <v>2.5499999999999998</v>
      </c>
      <c r="G295" s="3">
        <v>25</v>
      </c>
      <c r="H295">
        <v>6</v>
      </c>
      <c r="I295">
        <v>150</v>
      </c>
      <c r="J295" t="s">
        <v>17</v>
      </c>
      <c r="K295" s="24">
        <v>9405</v>
      </c>
      <c r="L295" s="3"/>
      <c r="M295" s="3"/>
      <c r="N295" s="3" t="s">
        <v>234</v>
      </c>
      <c r="O295" s="3"/>
    </row>
    <row r="296" spans="1:15" x14ac:dyDescent="0.25">
      <c r="A296" s="53" t="s">
        <v>231</v>
      </c>
      <c r="B296" s="10" t="s">
        <v>14</v>
      </c>
      <c r="C296" s="3" t="s">
        <v>28</v>
      </c>
      <c r="D296" s="3"/>
      <c r="E296" s="24" t="s">
        <v>44</v>
      </c>
      <c r="F296">
        <f t="shared" si="13"/>
        <v>2.5499999999999998</v>
      </c>
      <c r="G296" s="3">
        <v>25</v>
      </c>
      <c r="H296">
        <v>6</v>
      </c>
      <c r="I296">
        <v>150</v>
      </c>
      <c r="J296" t="s">
        <v>17</v>
      </c>
      <c r="K296" s="24">
        <v>10979</v>
      </c>
      <c r="L296" s="3"/>
      <c r="M296" s="3"/>
      <c r="N296" t="s">
        <v>235</v>
      </c>
      <c r="O296" s="3"/>
    </row>
    <row r="297" spans="1:15" x14ac:dyDescent="0.25">
      <c r="A297" s="53" t="s">
        <v>231</v>
      </c>
      <c r="B297" s="10" t="s">
        <v>14</v>
      </c>
      <c r="C297" s="3" t="s">
        <v>28</v>
      </c>
      <c r="D297" s="3"/>
      <c r="E297" s="24" t="s">
        <v>44</v>
      </c>
      <c r="F297">
        <f t="shared" si="13"/>
        <v>2.5499999999999998</v>
      </c>
      <c r="G297" s="3">
        <v>25</v>
      </c>
      <c r="H297">
        <v>6</v>
      </c>
      <c r="I297">
        <v>150</v>
      </c>
      <c r="J297" t="s">
        <v>17</v>
      </c>
      <c r="K297" s="24">
        <v>10414</v>
      </c>
      <c r="L297" s="3"/>
      <c r="M297" s="3"/>
      <c r="N297" s="3" t="s">
        <v>236</v>
      </c>
      <c r="O297" s="3"/>
    </row>
    <row r="298" spans="1:15" x14ac:dyDescent="0.25">
      <c r="A298" s="53" t="s">
        <v>231</v>
      </c>
      <c r="B298" s="10" t="s">
        <v>20</v>
      </c>
      <c r="C298" s="3" t="s">
        <v>28</v>
      </c>
      <c r="D298" s="3"/>
      <c r="E298" s="24" t="s">
        <v>44</v>
      </c>
      <c r="F298">
        <f t="shared" si="13"/>
        <v>2.5499999999999998</v>
      </c>
      <c r="G298" s="3">
        <v>25</v>
      </c>
      <c r="H298">
        <v>6</v>
      </c>
      <c r="I298">
        <v>150</v>
      </c>
      <c r="J298" t="s">
        <v>17</v>
      </c>
      <c r="K298" s="24">
        <v>9263</v>
      </c>
      <c r="L298" s="3"/>
      <c r="M298" s="3"/>
      <c r="N298" s="3" t="s">
        <v>237</v>
      </c>
      <c r="O298" s="3"/>
    </row>
    <row r="299" spans="1:15" x14ac:dyDescent="0.25">
      <c r="A299" s="53" t="s">
        <v>238</v>
      </c>
      <c r="B299" s="3" t="s">
        <v>14</v>
      </c>
      <c r="C299" s="3" t="s">
        <v>19</v>
      </c>
      <c r="D299" s="3"/>
      <c r="E299" s="3" t="s">
        <v>44</v>
      </c>
      <c r="F299" s="3"/>
      <c r="G299" s="3">
        <v>30</v>
      </c>
      <c r="H299" s="3">
        <v>4</v>
      </c>
      <c r="I299" s="3"/>
      <c r="J299" s="3" t="s">
        <v>17</v>
      </c>
      <c r="K299" s="3">
        <v>3690</v>
      </c>
      <c r="L299" s="3"/>
      <c r="M299" s="3"/>
      <c r="N299" s="3"/>
      <c r="O299" s="3"/>
    </row>
    <row r="300" spans="1:15" ht="15.75" x14ac:dyDescent="0.25">
      <c r="A300" s="16" t="s">
        <v>239</v>
      </c>
      <c r="B300" s="16" t="s">
        <v>14</v>
      </c>
      <c r="C300" s="16" t="s">
        <v>198</v>
      </c>
      <c r="D300" s="16"/>
      <c r="E300" s="16" t="s">
        <v>26</v>
      </c>
      <c r="F300" s="16">
        <f>10.2/2</f>
        <v>5.0999999999999996</v>
      </c>
      <c r="G300" s="16">
        <v>25</v>
      </c>
      <c r="H300" s="16"/>
      <c r="I300" s="16">
        <v>180</v>
      </c>
      <c r="J300" s="16" t="s">
        <v>17</v>
      </c>
      <c r="K300" s="16">
        <v>4680</v>
      </c>
      <c r="L300" s="16"/>
      <c r="M300" s="16"/>
      <c r="N300" s="82" t="s">
        <v>240</v>
      </c>
      <c r="O300" s="3" t="s">
        <v>241</v>
      </c>
    </row>
    <row r="301" spans="1:15" ht="15.75" x14ac:dyDescent="0.25">
      <c r="A301" s="16" t="s">
        <v>239</v>
      </c>
      <c r="B301" s="16" t="s">
        <v>14</v>
      </c>
      <c r="C301" s="16" t="s">
        <v>198</v>
      </c>
      <c r="D301" s="16"/>
      <c r="E301" s="16" t="s">
        <v>26</v>
      </c>
      <c r="F301" s="16"/>
      <c r="G301" s="16"/>
      <c r="H301" s="16"/>
      <c r="I301" s="16"/>
      <c r="J301" s="16" t="s">
        <v>34</v>
      </c>
      <c r="K301" s="16">
        <v>4120</v>
      </c>
      <c r="L301" s="24"/>
      <c r="M301" s="16"/>
      <c r="N301" s="82" t="s">
        <v>240</v>
      </c>
      <c r="O301" s="16"/>
    </row>
    <row r="302" spans="1:15" ht="15.75" x14ac:dyDescent="0.25">
      <c r="A302" s="16" t="s">
        <v>239</v>
      </c>
      <c r="B302" s="3" t="s">
        <v>20</v>
      </c>
      <c r="C302" s="24" t="s">
        <v>198</v>
      </c>
      <c r="D302" s="3"/>
      <c r="E302" s="3" t="s">
        <v>26</v>
      </c>
      <c r="F302" s="16">
        <f>10.2/2</f>
        <v>5.0999999999999996</v>
      </c>
      <c r="G302" s="16">
        <v>25</v>
      </c>
      <c r="H302" s="16"/>
      <c r="I302" s="16">
        <v>180</v>
      </c>
      <c r="J302" s="24" t="s">
        <v>17</v>
      </c>
      <c r="K302" s="3">
        <v>8990</v>
      </c>
      <c r="L302" s="16" t="s">
        <v>242</v>
      </c>
      <c r="M302" s="3"/>
      <c r="N302" s="82" t="s">
        <v>243</v>
      </c>
      <c r="O302" s="3"/>
    </row>
    <row r="303" spans="1:15" ht="15.75" x14ac:dyDescent="0.25">
      <c r="A303" s="16" t="s">
        <v>239</v>
      </c>
      <c r="B303" s="3" t="s">
        <v>20</v>
      </c>
      <c r="C303" s="24" t="s">
        <v>198</v>
      </c>
      <c r="D303" s="3"/>
      <c r="E303" s="3" t="s">
        <v>26</v>
      </c>
      <c r="F303" s="16">
        <f>10.2/2</f>
        <v>5.0999999999999996</v>
      </c>
      <c r="G303" s="16">
        <v>25</v>
      </c>
      <c r="H303" s="16"/>
      <c r="I303" s="16">
        <v>180</v>
      </c>
      <c r="J303" s="24" t="s">
        <v>34</v>
      </c>
      <c r="K303" s="3">
        <v>7180</v>
      </c>
      <c r="L303" s="16" t="s">
        <v>242</v>
      </c>
      <c r="M303" s="3"/>
      <c r="N303" s="82" t="s">
        <v>243</v>
      </c>
      <c r="O303" s="3"/>
    </row>
    <row r="304" spans="1:15" ht="15.75" x14ac:dyDescent="0.25">
      <c r="A304" s="16" t="s">
        <v>239</v>
      </c>
      <c r="B304" s="3" t="s">
        <v>20</v>
      </c>
      <c r="C304" s="16" t="s">
        <v>198</v>
      </c>
      <c r="D304" s="3"/>
      <c r="E304" s="3" t="s">
        <v>26</v>
      </c>
      <c r="F304" s="16">
        <f>10.2/2</f>
        <v>5.0999999999999996</v>
      </c>
      <c r="G304" s="16">
        <v>25</v>
      </c>
      <c r="H304" s="16"/>
      <c r="I304" s="16">
        <v>180</v>
      </c>
      <c r="J304" s="10" t="s">
        <v>17</v>
      </c>
      <c r="K304" s="3">
        <v>1000</v>
      </c>
      <c r="L304" s="3"/>
      <c r="M304" s="3"/>
      <c r="N304" s="82" t="s">
        <v>244</v>
      </c>
      <c r="O304" s="3"/>
    </row>
    <row r="305" spans="1:15" ht="16.5" thickBot="1" x14ac:dyDescent="0.3">
      <c r="A305" s="16" t="s">
        <v>239</v>
      </c>
      <c r="B305" s="3" t="s">
        <v>20</v>
      </c>
      <c r="C305" s="16" t="s">
        <v>198</v>
      </c>
      <c r="D305" s="3"/>
      <c r="E305" s="3" t="s">
        <v>26</v>
      </c>
      <c r="F305" s="16">
        <f>10.2/2</f>
        <v>5.0999999999999996</v>
      </c>
      <c r="G305" s="16">
        <v>25</v>
      </c>
      <c r="H305" s="16"/>
      <c r="I305" s="16">
        <v>180</v>
      </c>
      <c r="J305" s="10" t="s">
        <v>34</v>
      </c>
      <c r="K305" s="3">
        <v>1200</v>
      </c>
      <c r="L305" s="3" t="s">
        <v>245</v>
      </c>
      <c r="M305" s="3"/>
      <c r="N305" s="82" t="s">
        <v>244</v>
      </c>
      <c r="O305" s="3"/>
    </row>
    <row r="306" spans="1:15" ht="15.75" thickBot="1" x14ac:dyDescent="0.3">
      <c r="A306" s="83" t="s">
        <v>246</v>
      </c>
      <c r="B306" s="10" t="s">
        <v>14</v>
      </c>
      <c r="C306" s="10" t="s">
        <v>15</v>
      </c>
      <c r="D306" s="10"/>
      <c r="E306" s="3" t="s">
        <v>26</v>
      </c>
      <c r="F306" s="10">
        <f>20.2/2</f>
        <v>10.1</v>
      </c>
      <c r="G306" s="10">
        <v>25</v>
      </c>
      <c r="H306" s="10"/>
      <c r="I306" s="10">
        <v>250</v>
      </c>
      <c r="J306" s="10" t="s">
        <v>17</v>
      </c>
      <c r="K306" s="10">
        <v>88</v>
      </c>
      <c r="L306" s="3" t="s">
        <v>245</v>
      </c>
      <c r="M306" s="10"/>
      <c r="N306" s="10" t="s">
        <v>15</v>
      </c>
      <c r="O306" s="10"/>
    </row>
    <row r="307" spans="1:15" ht="15.75" thickBot="1" x14ac:dyDescent="0.3">
      <c r="A307" s="83" t="s">
        <v>246</v>
      </c>
      <c r="B307" s="3" t="s">
        <v>20</v>
      </c>
      <c r="C307" s="10" t="s">
        <v>15</v>
      </c>
      <c r="D307" s="3"/>
      <c r="E307" s="3" t="s">
        <v>26</v>
      </c>
      <c r="F307" s="10">
        <f>20.2/2</f>
        <v>10.1</v>
      </c>
      <c r="G307" s="10">
        <v>25</v>
      </c>
      <c r="H307" s="10"/>
      <c r="I307" s="10">
        <v>250</v>
      </c>
      <c r="J307" s="10" t="s">
        <v>17</v>
      </c>
      <c r="K307" s="3">
        <v>964</v>
      </c>
      <c r="L307" s="3" t="s">
        <v>247</v>
      </c>
      <c r="M307" s="3"/>
      <c r="N307" s="3" t="s">
        <v>248</v>
      </c>
      <c r="O307" s="3"/>
    </row>
    <row r="308" spans="1:15" ht="15.75" thickBot="1" x14ac:dyDescent="0.3">
      <c r="A308" s="83" t="s">
        <v>246</v>
      </c>
      <c r="B308" s="3" t="s">
        <v>20</v>
      </c>
      <c r="C308" s="10" t="s">
        <v>15</v>
      </c>
      <c r="D308" s="3"/>
      <c r="E308" s="3" t="s">
        <v>26</v>
      </c>
      <c r="F308" s="10">
        <f t="shared" ref="F308:F315" si="14">20.2/2</f>
        <v>10.1</v>
      </c>
      <c r="G308" s="10">
        <v>25</v>
      </c>
      <c r="H308" s="10"/>
      <c r="I308" s="10">
        <v>250</v>
      </c>
      <c r="J308" s="10" t="s">
        <v>17</v>
      </c>
      <c r="K308" s="3">
        <v>580</v>
      </c>
      <c r="L308" s="3" t="s">
        <v>249</v>
      </c>
      <c r="M308" s="3"/>
      <c r="N308" s="3" t="s">
        <v>250</v>
      </c>
      <c r="O308" s="3"/>
    </row>
    <row r="309" spans="1:15" ht="15.75" thickBot="1" x14ac:dyDescent="0.3">
      <c r="A309" s="83" t="s">
        <v>246</v>
      </c>
      <c r="B309" s="3" t="s">
        <v>20</v>
      </c>
      <c r="C309" s="10" t="s">
        <v>15</v>
      </c>
      <c r="D309" s="3"/>
      <c r="E309" s="3" t="s">
        <v>26</v>
      </c>
      <c r="F309" s="10">
        <f t="shared" si="14"/>
        <v>10.1</v>
      </c>
      <c r="G309" s="10">
        <v>25</v>
      </c>
      <c r="H309" s="10"/>
      <c r="I309" s="10">
        <v>250</v>
      </c>
      <c r="J309" s="10" t="s">
        <v>17</v>
      </c>
      <c r="K309" s="3">
        <v>282</v>
      </c>
      <c r="L309" s="3" t="s">
        <v>251</v>
      </c>
      <c r="M309" s="3"/>
      <c r="N309" s="3" t="s">
        <v>252</v>
      </c>
      <c r="O309" s="3"/>
    </row>
    <row r="310" spans="1:15" ht="15.75" thickBot="1" x14ac:dyDescent="0.3">
      <c r="A310" s="83" t="s">
        <v>246</v>
      </c>
      <c r="B310" s="3" t="s">
        <v>20</v>
      </c>
      <c r="C310" s="10" t="s">
        <v>15</v>
      </c>
      <c r="D310" s="3"/>
      <c r="E310" s="3" t="s">
        <v>26</v>
      </c>
      <c r="F310" s="10">
        <f t="shared" si="14"/>
        <v>10.1</v>
      </c>
      <c r="G310" s="10">
        <v>25</v>
      </c>
      <c r="H310" s="10"/>
      <c r="I310" s="10">
        <v>250</v>
      </c>
      <c r="J310" s="10" t="s">
        <v>17</v>
      </c>
      <c r="K310" s="3">
        <v>1296</v>
      </c>
      <c r="L310" s="3" t="s">
        <v>253</v>
      </c>
      <c r="M310" s="3"/>
      <c r="N310" s="3" t="s">
        <v>254</v>
      </c>
      <c r="O310" s="3"/>
    </row>
    <row r="311" spans="1:15" ht="15.75" thickBot="1" x14ac:dyDescent="0.3">
      <c r="A311" s="83" t="s">
        <v>246</v>
      </c>
      <c r="B311" s="24" t="s">
        <v>14</v>
      </c>
      <c r="C311" s="24" t="s">
        <v>130</v>
      </c>
      <c r="D311" s="24"/>
      <c r="E311" s="3" t="s">
        <v>26</v>
      </c>
      <c r="F311" s="10">
        <f t="shared" si="14"/>
        <v>10.1</v>
      </c>
      <c r="G311" s="10">
        <v>25</v>
      </c>
      <c r="H311" s="10"/>
      <c r="I311" s="10">
        <v>250</v>
      </c>
      <c r="J311" s="10" t="s">
        <v>17</v>
      </c>
      <c r="K311" s="24">
        <v>1443</v>
      </c>
      <c r="L311" s="24"/>
      <c r="M311" s="24"/>
      <c r="N311" s="24" t="s">
        <v>130</v>
      </c>
      <c r="O311" s="24"/>
    </row>
    <row r="312" spans="1:15" ht="15.75" thickBot="1" x14ac:dyDescent="0.3">
      <c r="A312" s="83" t="s">
        <v>246</v>
      </c>
      <c r="B312" s="3" t="s">
        <v>20</v>
      </c>
      <c r="C312" s="24" t="s">
        <v>130</v>
      </c>
      <c r="D312" s="3"/>
      <c r="E312" s="3" t="s">
        <v>26</v>
      </c>
      <c r="F312" s="10">
        <f t="shared" si="14"/>
        <v>10.1</v>
      </c>
      <c r="G312" s="10">
        <v>25</v>
      </c>
      <c r="H312" s="10"/>
      <c r="I312" s="10">
        <v>250</v>
      </c>
      <c r="J312" s="10" t="s">
        <v>17</v>
      </c>
      <c r="K312" s="3">
        <v>2318</v>
      </c>
      <c r="L312" s="3" t="s">
        <v>247</v>
      </c>
      <c r="M312" s="3"/>
      <c r="N312" s="3" t="s">
        <v>255</v>
      </c>
      <c r="O312" s="3"/>
    </row>
    <row r="313" spans="1:15" ht="15.75" thickBot="1" x14ac:dyDescent="0.3">
      <c r="A313" s="83" t="s">
        <v>246</v>
      </c>
      <c r="B313" s="3" t="s">
        <v>20</v>
      </c>
      <c r="C313" s="24" t="s">
        <v>130</v>
      </c>
      <c r="D313" s="3"/>
      <c r="E313" s="3" t="s">
        <v>26</v>
      </c>
      <c r="F313" s="10">
        <f t="shared" si="14"/>
        <v>10.1</v>
      </c>
      <c r="G313" s="10">
        <v>25</v>
      </c>
      <c r="H313" s="10"/>
      <c r="I313" s="10">
        <v>250</v>
      </c>
      <c r="J313" s="10" t="s">
        <v>17</v>
      </c>
      <c r="K313" s="3">
        <v>1158</v>
      </c>
      <c r="L313" s="3" t="s">
        <v>249</v>
      </c>
      <c r="M313" s="3"/>
      <c r="N313" s="3" t="s">
        <v>256</v>
      </c>
      <c r="O313" s="3"/>
    </row>
    <row r="314" spans="1:15" ht="15.75" thickBot="1" x14ac:dyDescent="0.3">
      <c r="A314" s="83" t="s">
        <v>246</v>
      </c>
      <c r="B314" s="3" t="s">
        <v>20</v>
      </c>
      <c r="C314" s="24" t="s">
        <v>130</v>
      </c>
      <c r="D314" s="3"/>
      <c r="E314" s="3" t="s">
        <v>26</v>
      </c>
      <c r="F314" s="10">
        <f t="shared" si="14"/>
        <v>10.1</v>
      </c>
      <c r="G314" s="10">
        <v>25</v>
      </c>
      <c r="H314" s="10"/>
      <c r="I314" s="10">
        <v>250</v>
      </c>
      <c r="J314" s="10" t="s">
        <v>17</v>
      </c>
      <c r="K314" s="3">
        <v>1207</v>
      </c>
      <c r="L314" s="3" t="s">
        <v>251</v>
      </c>
      <c r="M314" s="3"/>
      <c r="N314" s="3" t="s">
        <v>257</v>
      </c>
      <c r="O314" s="3"/>
    </row>
    <row r="315" spans="1:15" ht="15.75" thickBot="1" x14ac:dyDescent="0.3">
      <c r="A315" s="83" t="s">
        <v>246</v>
      </c>
      <c r="B315" s="3" t="s">
        <v>20</v>
      </c>
      <c r="C315" s="24" t="s">
        <v>130</v>
      </c>
      <c r="D315" s="3"/>
      <c r="E315" s="3" t="s">
        <v>26</v>
      </c>
      <c r="F315" s="10">
        <f t="shared" si="14"/>
        <v>10.1</v>
      </c>
      <c r="G315" s="10">
        <v>25</v>
      </c>
      <c r="H315" s="10"/>
      <c r="I315" s="10">
        <v>250</v>
      </c>
      <c r="J315" s="10" t="s">
        <v>17</v>
      </c>
      <c r="K315" s="3">
        <v>504</v>
      </c>
      <c r="L315" s="3" t="s">
        <v>253</v>
      </c>
      <c r="M315" s="3"/>
      <c r="N315" s="3" t="s">
        <v>258</v>
      </c>
      <c r="O315" s="3"/>
    </row>
    <row r="316" spans="1:15" x14ac:dyDescent="0.25">
      <c r="A316" s="16" t="s">
        <v>273</v>
      </c>
      <c r="B316" s="16" t="s">
        <v>14</v>
      </c>
      <c r="C316" s="16" t="s">
        <v>108</v>
      </c>
      <c r="D316" s="16"/>
      <c r="E316" s="16" t="s">
        <v>16</v>
      </c>
      <c r="F316" s="16">
        <v>23</v>
      </c>
      <c r="G316" s="16">
        <v>25</v>
      </c>
      <c r="H316" s="16"/>
      <c r="I316" s="16">
        <v>200</v>
      </c>
      <c r="J316" s="16" t="s">
        <v>17</v>
      </c>
      <c r="K316" s="16">
        <v>2997</v>
      </c>
      <c r="L316" s="16"/>
      <c r="M316" s="16"/>
      <c r="N316" s="16"/>
      <c r="O316" s="16"/>
    </row>
    <row r="317" spans="1:15" x14ac:dyDescent="0.25">
      <c r="A317" s="16" t="s">
        <v>273</v>
      </c>
      <c r="B317" s="16" t="s">
        <v>14</v>
      </c>
      <c r="C317" s="16" t="s">
        <v>108</v>
      </c>
      <c r="D317" s="3"/>
      <c r="E317" s="3" t="s">
        <v>33</v>
      </c>
      <c r="F317" s="16">
        <v>23</v>
      </c>
      <c r="G317" s="16">
        <v>25</v>
      </c>
      <c r="H317" s="16"/>
      <c r="I317" s="16">
        <v>200</v>
      </c>
      <c r="J317" s="16" t="s">
        <v>17</v>
      </c>
      <c r="K317" s="3">
        <v>2606</v>
      </c>
      <c r="L317" s="3"/>
      <c r="M317" s="3"/>
      <c r="N317" s="3"/>
      <c r="O317" s="3"/>
    </row>
  </sheetData>
  <conditionalFormatting sqref="K1:K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xuan cuong</dc:creator>
  <cp:lastModifiedBy>nguyen xuan cuong</cp:lastModifiedBy>
  <dcterms:created xsi:type="dcterms:W3CDTF">2026-03-02T01:26:54Z</dcterms:created>
  <dcterms:modified xsi:type="dcterms:W3CDTF">2026-03-07T05:13:22Z</dcterms:modified>
</cp:coreProperties>
</file>